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Quality Summary" sheetId="1" state="visible" r:id="rId3"/>
    <sheet name="Cleaned Accounts" sheetId="2" state="visible" r:id="rId4"/>
    <sheet name="Duplicate Review" sheetId="3" state="visible" r:id="rId5"/>
    <sheet name="Normalization Log" sheetId="4" state="visible" r:id="rId6"/>
    <sheet name="Raw Export" sheetId="5" state="visible" r:id="rId7"/>
    <sheet name="Change Log" sheetId="6" state="visible" r:id="rId8"/>
  </sheets>
  <definedNames>
    <definedName function="false" hidden="true" localSheetId="1" name="_xlnm._FilterDatabase" vbProcedure="false">'Cleaned Accounts'!$A$1:$J$76</definedName>
    <definedName function="false" hidden="true" localSheetId="4" name="_xlnm._FilterDatabase" vbProcedure="false">'Raw Export'!$A$1:$J$81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<sst xmlns="http://schemas.openxmlformats.org/spreadsheetml/2006/main" count="1396" uniqueCount="289">
  <si>
    <t xml:space="preserve">CRM Account Export - Data Quality Summary</t>
  </si>
  <si>
    <t xml:space="preserve">Greenline Retail | Cleaned for territory planning | Source: CRM Account Export tab (synthetic package cwk-sheets-033), read 2026-06-10</t>
  </si>
  <si>
    <t xml:space="preserve">Headline metrics</t>
  </si>
  <si>
    <t xml:space="preserve">Raw records exported</t>
  </si>
  <si>
    <t xml:space="preserve">Unique accounts after dedupe</t>
  </si>
  <si>
    <t xml:space="preserve">Duplicate records removed (merged into survivor)</t>
  </si>
  <si>
    <t xml:space="preserve">Raw book ARR (incl. duplicates) ($)</t>
  </si>
  <si>
    <t xml:space="preserve">Cleaned book ARR ($)</t>
  </si>
  <si>
    <t xml:space="preserve">ARR inflation from duplicate records ($)</t>
  </si>
  <si>
    <t xml:space="preserve">Rows fully clean (no flags)</t>
  </si>
  <si>
    <t xml:space="preserve">Rows needing RevOps attention</t>
  </si>
  <si>
    <t xml:space="preserve">Issue register - fix before the territory model is locked</t>
  </si>
  <si>
    <t xml:space="preserve">ID</t>
  </si>
  <si>
    <t xml:space="preserve">Severity</t>
  </si>
  <si>
    <t xml:space="preserve">Issue</t>
  </si>
  <si>
    <t xml:space="preserve">Records</t>
  </si>
  <si>
    <t xml:space="preserve">Confidence</t>
  </si>
  <si>
    <t xml:space="preserve">Recommended action for RevOps</t>
  </si>
  <si>
    <t xml:space="preserve">DQ-1</t>
  </si>
  <si>
    <t xml:space="preserve">High</t>
  </si>
  <si>
    <t xml:space="preserve">Region blank - account cannot be assigned to a territory</t>
  </si>
  <si>
    <t xml:space="preserve">n/a</t>
  </si>
  <si>
    <t xml:space="preserve">Backfill region from billing address or rep knowledge. Region is the territory dimension; the model cannot be locked while these are blank.</t>
  </si>
  <si>
    <t xml:space="preserve">DQ-2</t>
  </si>
  <si>
    <t xml:space="preserve">Region "US-East" does not fit the EMEA/APAC taxonomy and has no approved mapping</t>
  </si>
  <si>
    <t xml:space="preserve">Medium</t>
  </si>
  <si>
    <t xml:space="preserve">Decide the Americas roll-up (e.g., add AMER) or keep sub-regions consistently. Normalization Map left the target blank, so this is a RevOps taxonomy decision, not a data fix.</t>
  </si>
  <si>
    <t xml:space="preserve">DQ-3</t>
  </si>
  <si>
    <t xml:space="preserve">Duplicate cluster: "Atlas Health, Inc." entered 6 times with conflicting ARR ($30K / $174K / $318K) and 5 different owners</t>
  </si>
  <si>
    <t xml:space="preserve">Survivor RAW-15072 kept (most recent, most complete); 5 records staged for merge on Duplicate Review tab. Confirm true ARR and owner with the source system before locking - do not trust the kept ARR.</t>
  </si>
  <si>
    <t xml:space="preserve">DQ-4</t>
  </si>
  <si>
    <t xml:space="preserve">Owner blank - account is unassigned</t>
  </si>
  <si>
    <t xml:space="preserve">Assign owners before modeling rep capacity; unowned accounts skew territory load calculations.</t>
  </si>
  <si>
    <t xml:space="preserve">DQ-5</t>
  </si>
  <si>
    <t xml:space="preserve">Employees blank - missing firmographic used for segmentation</t>
  </si>
  <si>
    <t xml:space="preserve">Enrich from a data provider or account research if employee count drives segment/tiering.</t>
  </si>
  <si>
    <t xml:space="preserve">DQ-6</t>
  </si>
  <si>
    <t xml:space="preserve">Source quality log warns a late-period definition/stage change may affect trend comparability (cwk-sheets-033-DQ-002)</t>
  </si>
  <si>
    <t xml:space="preserve">Confirm the ARR definition is consistent across the export window before using ARR trends to size territories.</t>
  </si>
  <si>
    <t xml:space="preserve">DQ-7</t>
  </si>
  <si>
    <t xml:space="preserve">Low</t>
  </si>
  <si>
    <t xml:space="preserve">Industry misspelling "Hlthcare" - normalized to "Healthcare" per Normalization Map (resolved)</t>
  </si>
  <si>
    <t xml:space="preserve">No action needed; fix applied. Add a picklist in the CRM to prevent recurrence.</t>
  </si>
  <si>
    <t xml:space="preserve">DQ-8</t>
  </si>
  <si>
    <t xml:space="preserve">Source notes are directional; some judgment calls embedded in this cleanup (cwk-sheets-033-DQ-003)</t>
  </si>
  <si>
    <t xml:space="preserve">Treat Medium-confidence rows as provisional; assumptions listed on the Change Log tab.</t>
  </si>
  <si>
    <t xml:space="preserve">Account ID</t>
  </si>
  <si>
    <t xml:space="preserve">Account Name</t>
  </si>
  <si>
    <t xml:space="preserve">Industry</t>
  </si>
  <si>
    <t xml:space="preserve">Region</t>
  </si>
  <si>
    <t xml:space="preserve">Owner</t>
  </si>
  <si>
    <t xml:space="preserve">ARR ($)</t>
  </si>
  <si>
    <t xml:space="preserve">Employees</t>
  </si>
  <si>
    <t xml:space="preserve">Dedup Status</t>
  </si>
  <si>
    <t xml:space="preserve">Issue Flags</t>
  </si>
  <si>
    <t xml:space="preserve">RAW-15001</t>
  </si>
  <si>
    <t xml:space="preserve">Redwood Labs 1</t>
  </si>
  <si>
    <t xml:space="preserve">Retail</t>
  </si>
  <si>
    <t xml:space="preserve">EMEA</t>
  </si>
  <si>
    <t xml:space="preserve">Jon Bell</t>
  </si>
  <si>
    <t xml:space="preserve">Unique</t>
  </si>
  <si>
    <t xml:space="preserve">OK</t>
  </si>
  <si>
    <t xml:space="preserve">RAW-15002</t>
  </si>
  <si>
    <t xml:space="preserve">CivicGrid 2</t>
  </si>
  <si>
    <t xml:space="preserve">Finance</t>
  </si>
  <si>
    <t xml:space="preserve">APAC</t>
  </si>
  <si>
    <t xml:space="preserve">Priya Nair</t>
  </si>
  <si>
    <t xml:space="preserve">RAW-15003</t>
  </si>
  <si>
    <t xml:space="preserve">Atlas Health 3</t>
  </si>
  <si>
    <t xml:space="preserve">Public Sector</t>
  </si>
  <si>
    <t xml:space="preserve">Sam Ortiz</t>
  </si>
  <si>
    <t xml:space="preserve">Missing region</t>
  </si>
  <si>
    <t xml:space="preserve">RAW-15004</t>
  </si>
  <si>
    <t xml:space="preserve">Greenline Retail 4</t>
  </si>
  <si>
    <t xml:space="preserve">Healthcare</t>
  </si>
  <si>
    <t xml:space="preserve">Lee Kim</t>
  </si>
  <si>
    <t xml:space="preserve">RAW-15005</t>
  </si>
  <si>
    <t xml:space="preserve">FlowOps 5</t>
  </si>
  <si>
    <t xml:space="preserve">Nora Patel</t>
  </si>
  <si>
    <t xml:space="preserve">RAW-15006</t>
  </si>
  <si>
    <t xml:space="preserve">Northstar Apps 6</t>
  </si>
  <si>
    <t xml:space="preserve">Alex Rivera</t>
  </si>
  <si>
    <t xml:space="preserve">RAW-15007</t>
  </si>
  <si>
    <t xml:space="preserve">Redwood Labs 7</t>
  </si>
  <si>
    <t xml:space="preserve">Dana Brooks</t>
  </si>
  <si>
    <t xml:space="preserve">RAW-15008</t>
  </si>
  <si>
    <t xml:space="preserve">CivicGrid 8</t>
  </si>
  <si>
    <t xml:space="preserve">Iris Stone</t>
  </si>
  <si>
    <t xml:space="preserve">RAW-15009</t>
  </si>
  <si>
    <t xml:space="preserve">Atlas Health 9</t>
  </si>
  <si>
    <t xml:space="preserve">US-East</t>
  </si>
  <si>
    <t xml:space="preserve">Theo Grant</t>
  </si>
  <si>
    <t xml:space="preserve">Unmapped region (US-East)</t>
  </si>
  <si>
    <t xml:space="preserve">RAW-15010</t>
  </si>
  <si>
    <t xml:space="preserve">Greenline Retail 10</t>
  </si>
  <si>
    <t xml:space="preserve">Maya Chen</t>
  </si>
  <si>
    <t xml:space="preserve">RAW-15011</t>
  </si>
  <si>
    <t xml:space="preserve">FlowOps 11</t>
  </si>
  <si>
    <t xml:space="preserve">Missing employees</t>
  </si>
  <si>
    <t xml:space="preserve">RAW-15013</t>
  </si>
  <si>
    <t xml:space="preserve">Redwood Labs 13</t>
  </si>
  <si>
    <t xml:space="preserve">Missing owner</t>
  </si>
  <si>
    <t xml:space="preserve">RAW-15014</t>
  </si>
  <si>
    <t xml:space="preserve">CivicGrid 14</t>
  </si>
  <si>
    <t xml:space="preserve">RAW-15015</t>
  </si>
  <si>
    <t xml:space="preserve">Atlas Health 15</t>
  </si>
  <si>
    <t xml:space="preserve">RAW-15016</t>
  </si>
  <si>
    <t xml:space="preserve">Greenline Retail 16</t>
  </si>
  <si>
    <t xml:space="preserve">RAW-15017</t>
  </si>
  <si>
    <t xml:space="preserve">FlowOps 17</t>
  </si>
  <si>
    <t xml:space="preserve">RAW-15018</t>
  </si>
  <si>
    <t xml:space="preserve">Northstar Apps 18</t>
  </si>
  <si>
    <t xml:space="preserve">RAW-15019</t>
  </si>
  <si>
    <t xml:space="preserve">Redwood Labs 19</t>
  </si>
  <si>
    <t xml:space="preserve">RAW-15020</t>
  </si>
  <si>
    <t xml:space="preserve">CivicGrid 20</t>
  </si>
  <si>
    <t xml:space="preserve">RAW-15021</t>
  </si>
  <si>
    <t xml:space="preserve">Atlas Health 21</t>
  </si>
  <si>
    <t xml:space="preserve">RAW-15022</t>
  </si>
  <si>
    <t xml:space="preserve">Greenline Retail 22</t>
  </si>
  <si>
    <t xml:space="preserve">RAW-15023</t>
  </si>
  <si>
    <t xml:space="preserve">FlowOps 23</t>
  </si>
  <si>
    <t xml:space="preserve">RAW-15025</t>
  </si>
  <si>
    <t xml:space="preserve">Redwood Labs 25</t>
  </si>
  <si>
    <t xml:space="preserve">RAW-15026</t>
  </si>
  <si>
    <t xml:space="preserve">CivicGrid 26</t>
  </si>
  <si>
    <t xml:space="preserve">RAW-15027</t>
  </si>
  <si>
    <t xml:space="preserve">Atlas Health 27</t>
  </si>
  <si>
    <t xml:space="preserve">RAW-15028</t>
  </si>
  <si>
    <t xml:space="preserve">Greenline Retail 28</t>
  </si>
  <si>
    <t xml:space="preserve">RAW-15029</t>
  </si>
  <si>
    <t xml:space="preserve">FlowOps 29</t>
  </si>
  <si>
    <t xml:space="preserve">RAW-15030</t>
  </si>
  <si>
    <t xml:space="preserve">Northstar Apps 30</t>
  </si>
  <si>
    <t xml:space="preserve">RAW-15031</t>
  </si>
  <si>
    <t xml:space="preserve">Redwood Labs 31</t>
  </si>
  <si>
    <t xml:space="preserve">RAW-15032</t>
  </si>
  <si>
    <t xml:space="preserve">CivicGrid 32</t>
  </si>
  <si>
    <t xml:space="preserve">RAW-15033</t>
  </si>
  <si>
    <t xml:space="preserve">Atlas Health 33</t>
  </si>
  <si>
    <t xml:space="preserve">Missing region; Missing employees</t>
  </si>
  <si>
    <t xml:space="preserve">RAW-15034</t>
  </si>
  <si>
    <t xml:space="preserve">Greenline Retail 34</t>
  </si>
  <si>
    <t xml:space="preserve">RAW-15035</t>
  </si>
  <si>
    <t xml:space="preserve">FlowOps 35</t>
  </si>
  <si>
    <t xml:space="preserve">RAW-15037</t>
  </si>
  <si>
    <t xml:space="preserve">Redwood Labs 37</t>
  </si>
  <si>
    <t xml:space="preserve">RAW-15038</t>
  </si>
  <si>
    <t xml:space="preserve">CivicGrid 38</t>
  </si>
  <si>
    <t xml:space="preserve">RAW-15039</t>
  </si>
  <si>
    <t xml:space="preserve">Atlas Health 39</t>
  </si>
  <si>
    <t xml:space="preserve">Missing region; Missing owner</t>
  </si>
  <si>
    <t xml:space="preserve">RAW-15040</t>
  </si>
  <si>
    <t xml:space="preserve">Greenline Retail 40</t>
  </si>
  <si>
    <t xml:space="preserve">RAW-15041</t>
  </si>
  <si>
    <t xml:space="preserve">FlowOps 41</t>
  </si>
  <si>
    <t xml:space="preserve">RAW-15042</t>
  </si>
  <si>
    <t xml:space="preserve">Northstar Apps 42</t>
  </si>
  <si>
    <t xml:space="preserve">RAW-15043</t>
  </si>
  <si>
    <t xml:space="preserve">Redwood Labs 43</t>
  </si>
  <si>
    <t xml:space="preserve">RAW-15044</t>
  </si>
  <si>
    <t xml:space="preserve">CivicGrid 44</t>
  </si>
  <si>
    <t xml:space="preserve">RAW-15045</t>
  </si>
  <si>
    <t xml:space="preserve">Atlas Health 45</t>
  </si>
  <si>
    <t xml:space="preserve">RAW-15046</t>
  </si>
  <si>
    <t xml:space="preserve">Greenline Retail 46</t>
  </si>
  <si>
    <t xml:space="preserve">RAW-15047</t>
  </si>
  <si>
    <t xml:space="preserve">FlowOps 47</t>
  </si>
  <si>
    <t xml:space="preserve">RAW-15049</t>
  </si>
  <si>
    <t xml:space="preserve">Redwood Labs 49</t>
  </si>
  <si>
    <t xml:space="preserve">RAW-15050</t>
  </si>
  <si>
    <t xml:space="preserve">CivicGrid 50</t>
  </si>
  <si>
    <t xml:space="preserve">RAW-15051</t>
  </si>
  <si>
    <t xml:space="preserve">Atlas Health 51</t>
  </si>
  <si>
    <t xml:space="preserve">RAW-15052</t>
  </si>
  <si>
    <t xml:space="preserve">Greenline Retail 52</t>
  </si>
  <si>
    <t xml:space="preserve">RAW-15053</t>
  </si>
  <si>
    <t xml:space="preserve">FlowOps 53</t>
  </si>
  <si>
    <t xml:space="preserve">RAW-15054</t>
  </si>
  <si>
    <t xml:space="preserve">Northstar Apps 54</t>
  </si>
  <si>
    <t xml:space="preserve">RAW-15055</t>
  </si>
  <si>
    <t xml:space="preserve">Redwood Labs 55</t>
  </si>
  <si>
    <t xml:space="preserve">RAW-15056</t>
  </si>
  <si>
    <t xml:space="preserve">CivicGrid 56</t>
  </si>
  <si>
    <t xml:space="preserve">RAW-15057</t>
  </si>
  <si>
    <t xml:space="preserve">Atlas Health 57</t>
  </si>
  <si>
    <t xml:space="preserve">RAW-15058</t>
  </si>
  <si>
    <t xml:space="preserve">Greenline Retail 58</t>
  </si>
  <si>
    <t xml:space="preserve">RAW-15059</t>
  </si>
  <si>
    <t xml:space="preserve">FlowOps 59</t>
  </si>
  <si>
    <t xml:space="preserve">RAW-15061</t>
  </si>
  <si>
    <t xml:space="preserve">Redwood Labs 61</t>
  </si>
  <si>
    <t xml:space="preserve">RAW-15062</t>
  </si>
  <si>
    <t xml:space="preserve">CivicGrid 62</t>
  </si>
  <si>
    <t xml:space="preserve">RAW-15063</t>
  </si>
  <si>
    <t xml:space="preserve">Atlas Health 63</t>
  </si>
  <si>
    <t xml:space="preserve">RAW-15064</t>
  </si>
  <si>
    <t xml:space="preserve">Greenline Retail 64</t>
  </si>
  <si>
    <t xml:space="preserve">RAW-15065</t>
  </si>
  <si>
    <t xml:space="preserve">FlowOps 65</t>
  </si>
  <si>
    <t xml:space="preserve">RAW-15066</t>
  </si>
  <si>
    <t xml:space="preserve">Northstar Apps 66</t>
  </si>
  <si>
    <t xml:space="preserve">RAW-15067</t>
  </si>
  <si>
    <t xml:space="preserve">Redwood Labs 67</t>
  </si>
  <si>
    <t xml:space="preserve">RAW-15068</t>
  </si>
  <si>
    <t xml:space="preserve">CivicGrid 68</t>
  </si>
  <si>
    <t xml:space="preserve">RAW-15069</t>
  </si>
  <si>
    <t xml:space="preserve">Atlas Health 69</t>
  </si>
  <si>
    <t xml:space="preserve">RAW-15070</t>
  </si>
  <si>
    <t xml:space="preserve">Greenline Retail 70</t>
  </si>
  <si>
    <t xml:space="preserve">RAW-15071</t>
  </si>
  <si>
    <t xml:space="preserve">FlowOps 71</t>
  </si>
  <si>
    <t xml:space="preserve">RAW-15072</t>
  </si>
  <si>
    <t xml:space="preserve">Atlas Health</t>
  </si>
  <si>
    <t xml:space="preserve">Merged survivor</t>
  </si>
  <si>
    <t xml:space="preserve">Merged from 6 duplicate records - verify ARR &amp; owner; Unmapped region (US-East)</t>
  </si>
  <si>
    <t xml:space="preserve">RAW-15073</t>
  </si>
  <si>
    <t xml:space="preserve">Redwood Labs 73</t>
  </si>
  <si>
    <t xml:space="preserve">RAW-15074</t>
  </si>
  <si>
    <t xml:space="preserve">CivicGrid 74</t>
  </si>
  <si>
    <t xml:space="preserve">RAW-15075</t>
  </si>
  <si>
    <t xml:space="preserve">Atlas Health 75</t>
  </si>
  <si>
    <t xml:space="preserve">RAW-15076</t>
  </si>
  <si>
    <t xml:space="preserve">Greenline Retail 76</t>
  </si>
  <si>
    <t xml:space="preserve">RAW-15077</t>
  </si>
  <si>
    <t xml:space="preserve">FlowOps 77</t>
  </si>
  <si>
    <t xml:space="preserve">RAW-15078</t>
  </si>
  <si>
    <t xml:space="preserve">Northstar Apps 78</t>
  </si>
  <si>
    <t xml:space="preserve">RAW-15079</t>
  </si>
  <si>
    <t xml:space="preserve">Redwood Labs 79</t>
  </si>
  <si>
    <t xml:space="preserve">RAW-15080</t>
  </si>
  <si>
    <t xml:space="preserve">CivicGrid 80</t>
  </si>
  <si>
    <t xml:space="preserve">Duplicate group DG-1: "Atlas Health, Inc." (6 raw records, 1 account)</t>
  </si>
  <si>
    <t xml:space="preserve">Match basis: identical account name; all normalize to "Atlas Health" (Normalization Map confidence: Medium). Conflicting ARR and owners mean merge is NOT safe to automate - confirm with source before locking.</t>
  </si>
  <si>
    <t xml:space="preserve">Group</t>
  </si>
  <si>
    <t xml:space="preserve">Raw ID</t>
  </si>
  <si>
    <t xml:space="preserve">Industry (raw)</t>
  </si>
  <si>
    <t xml:space="preserve">Match Confidence</t>
  </si>
  <si>
    <t xml:space="preserve">Disposition</t>
  </si>
  <si>
    <t xml:space="preserve">DG-1</t>
  </si>
  <si>
    <t xml:space="preserve">RAW-15012</t>
  </si>
  <si>
    <t xml:space="preserve">Atlas Health, Inc.</t>
  </si>
  <si>
    <t xml:space="preserve">MERGE into RAW-15072 - pending review</t>
  </si>
  <si>
    <t xml:space="preserve">RAW-15024</t>
  </si>
  <si>
    <t xml:space="preserve">RAW-15036</t>
  </si>
  <si>
    <t xml:space="preserve">RAW-15048</t>
  </si>
  <si>
    <t xml:space="preserve">RAW-15060</t>
  </si>
  <si>
    <t xml:space="preserve">Hlthcare</t>
  </si>
  <si>
    <t xml:space="preserve">KEEP - survivor (most recent, most complete)</t>
  </si>
  <si>
    <t xml:space="preserve">Conflicts to resolve before merge</t>
  </si>
  <si>
    <t xml:space="preserve">ARR</t>
  </si>
  <si>
    <t xml:space="preserve">Three different values across the group: $30,000 / $174,000 / $318,000 (each appears twice). True ARR unknown - verify in billing.</t>
  </si>
  <si>
    <t xml:space="preserve">5 distinct owners across 6 records (Priya Nair x2, Lee Kim, Alex Rivera, Iris Stone, Maya Chen). Assign one owner.</t>
  </si>
  <si>
    <t xml:space="preserve">Blank on 4 of 6 records; US-East on 2. US-East itself is an unmapped value (see DQ-2).</t>
  </si>
  <si>
    <t xml:space="preserve">Ranges 196-676 across records; survivor value 676 retained provisionally.</t>
  </si>
  <si>
    <t xml:space="preserve">Survivor rule</t>
  </si>
  <si>
    <t xml:space="preserve">Highest Raw ID kept as most recent record (assumption - no created/modified date in export).</t>
  </si>
  <si>
    <t xml:space="preserve">Normalization applied (per Normalization Map tab in source)</t>
  </si>
  <si>
    <t xml:space="preserve">Field</t>
  </si>
  <si>
    <t xml:space="preserve">Raw Value</t>
  </si>
  <si>
    <t xml:space="preserve">Normalized To</t>
  </si>
  <si>
    <t xml:space="preserve">Rows Affected</t>
  </si>
  <si>
    <t xml:space="preserve">Status</t>
  </si>
  <si>
    <t xml:space="preserve">APPLIED - deterministic misspelling fix</t>
  </si>
  <si>
    <t xml:space="preserve">APPLIED to naming; merge staged on Duplicate Review - needs sign-off</t>
  </si>
  <si>
    <t xml:space="preserve">(no approved mapping)</t>
  </si>
  <si>
    <t xml:space="preserve">NOT APPLIED - value kept and flagged; RevOps must define the Americas taxonomy</t>
  </si>
  <si>
    <t xml:space="preserve">(blank)</t>
  </si>
  <si>
    <t xml:space="preserve">(cannot infer)</t>
  </si>
  <si>
    <t xml:space="preserve">NOT APPLIED - missing data, flagged for backfill</t>
  </si>
  <si>
    <t xml:space="preserve">Resulting Industry distribution (cleaned)</t>
  </si>
  <si>
    <t xml:space="preserve">Accounts</t>
  </si>
  <si>
    <t xml:space="preserve">Total</t>
  </si>
  <si>
    <t xml:space="preserve">Resulting Region distribution (cleaned)</t>
  </si>
  <si>
    <t xml:space="preserve">US-East (unmapped)</t>
  </si>
  <si>
    <t xml:space="preserve">Normalized Account</t>
  </si>
  <si>
    <t xml:space="preserve">Cleanup Flag</t>
  </si>
  <si>
    <t xml:space="preserve">Normalize industry</t>
  </si>
  <si>
    <t xml:space="preserve">Possible duplicate</t>
  </si>
  <si>
    <t xml:space="preserve">Range Read</t>
  </si>
  <si>
    <t xml:space="preserve">Rows Changed</t>
  </si>
  <si>
    <t xml:space="preserve">Formula Added</t>
  </si>
  <si>
    <t xml:space="preserve">Assumption</t>
  </si>
  <si>
    <t xml:space="preserve">Manual Review</t>
  </si>
  <si>
    <t xml:space="preserve">CRM Account Export!A:J (80 records)</t>
  </si>
  <si>
    <t xml:space="preserve">8 industry values normalized; 5 duplicate records merged out (80 -&gt; 75); 30 cleaned rows carry at least one issue flag</t>
  </si>
  <si>
    <t xml:space="preserve">COUNTIF / COUNTBLANK / SUM metrics on Data Quality Summary and Normalization Log recompute from Raw Export and Cleaned Accounts</t>
  </si>
  <si>
    <t xml:space="preserve">Survivor for the Atlas Health duplicate group = highest Raw ID (RAW-15072), used as recency proxy because the export has no created/modified date; US-East kept as-is pending taxonomy decision</t>
  </si>
  <si>
    <t xml:space="preserve">Medium-confidence items requiring sign-off: Atlas Health merge (conflicting ARR/owner) and US-East region mapping; plus backfill of blank Region (14), Owner (6), Employees (7) in cleaned data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</si>
</sst>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52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f aca="false">COUNTA('Raw Export'!A2:A81)</f>
        <v>80</v>
      </c>
    </row>
    <row r="6" customFormat="false" ht="15" hidden="false" customHeight="true" outlineLevel="0" collapsed="false">
      <c r="A6" s="5" t="s">
        <v>4</v>
      </c>
      <c r="B6" s="6" t="n">
        <f aca="false">COUNTA('Cleaned Accounts'!A2:A76)</f>
        <v>75</v>
      </c>
    </row>
    <row r="7" customFormat="false" ht="15" hidden="false" customHeight="true" outlineLevel="0" collapsed="false">
      <c r="A7" s="5" t="s">
        <v>5</v>
      </c>
      <c r="B7" s="6" t="n">
        <f aca="false">COUNTA('Raw Export'!A2:A81)-COUNTA('Cleaned Accounts'!A2:A76)</f>
        <v>5</v>
      </c>
    </row>
    <row r="8" customFormat="false" ht="15" hidden="false" customHeight="true" outlineLevel="0" collapsed="false">
      <c r="A8" s="5" t="s">
        <v>6</v>
      </c>
      <c r="B8" s="6" t="n">
        <f aca="false">SUM('Raw Export'!G2:G81)</f>
        <v>17952000</v>
      </c>
    </row>
    <row r="9" customFormat="false" ht="15" hidden="false" customHeight="true" outlineLevel="0" collapsed="false">
      <c r="A9" s="5" t="s">
        <v>7</v>
      </c>
      <c r="B9" s="6" t="n">
        <f aca="false">SUM('Cleaned Accounts'!F2:F76)</f>
        <v>16938000</v>
      </c>
    </row>
    <row r="10" customFormat="false" ht="15" hidden="false" customHeight="true" outlineLevel="0" collapsed="false">
      <c r="A10" s="5" t="s">
        <v>8</v>
      </c>
      <c r="B10" s="6" t="n">
        <f aca="false">B8-B9</f>
        <v>1014000</v>
      </c>
    </row>
    <row r="11" customFormat="false" ht="15" hidden="false" customHeight="true" outlineLevel="0" collapsed="false">
      <c r="A11" s="5" t="s">
        <v>9</v>
      </c>
      <c r="B11" s="6" t="n">
        <f aca="false">COUNTIF('Cleaned Accounts'!J2:J76,"OK")</f>
        <v>45</v>
      </c>
    </row>
    <row r="12" customFormat="false" ht="15" hidden="false" customHeight="true" outlineLevel="0" collapsed="false">
      <c r="A12" s="5" t="s">
        <v>10</v>
      </c>
      <c r="B12" s="6" t="n">
        <f aca="false">B6-B11</f>
        <v>30</v>
      </c>
    </row>
    <row r="15" customFormat="false" ht="15" hidden="false" customHeight="true" outlineLevel="0" collapsed="false">
      <c r="A15" s="4" t="s">
        <v>11</v>
      </c>
    </row>
    <row r="16" customFormat="false" ht="15" hidden="false" customHeight="true" outlineLevel="0" collapsed="false">
      <c r="A16" s="7" t="s">
        <v>12</v>
      </c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</row>
    <row r="17" customFormat="false" ht="23.25" hidden="false" customHeight="true" outlineLevel="0" collapsed="false">
      <c r="A17" s="8" t="s">
        <v>18</v>
      </c>
      <c r="B17" s="9" t="s">
        <v>19</v>
      </c>
      <c r="C17" s="10" t="s">
        <v>20</v>
      </c>
      <c r="D17" s="11" t="n">
        <f aca="false">COUNTBLANK('Cleaned Accounts'!D2:D76)</f>
        <v>14</v>
      </c>
      <c r="E17" s="8" t="s">
        <v>21</v>
      </c>
      <c r="F17" s="10" t="s">
        <v>22</v>
      </c>
    </row>
    <row r="18" customFormat="false" ht="34.5" hidden="false" customHeight="true" outlineLevel="0" collapsed="false">
      <c r="A18" s="8" t="s">
        <v>23</v>
      </c>
      <c r="B18" s="9" t="s">
        <v>19</v>
      </c>
      <c r="C18" s="10" t="s">
        <v>24</v>
      </c>
      <c r="D18" s="11" t="n">
        <f aca="false">COUNTIF('Cleaned Accounts'!D2:D76,"US-East")</f>
        <v>7</v>
      </c>
      <c r="E18" s="8" t="s">
        <v>25</v>
      </c>
      <c r="F18" s="10" t="s">
        <v>26</v>
      </c>
    </row>
    <row r="19" customFormat="false" ht="34.5" hidden="false" customHeight="true" outlineLevel="0" collapsed="false">
      <c r="A19" s="8" t="s">
        <v>27</v>
      </c>
      <c r="B19" s="9" t="s">
        <v>19</v>
      </c>
      <c r="C19" s="10" t="s">
        <v>28</v>
      </c>
      <c r="D19" s="11" t="n">
        <f aca="false">COUNTIF('Raw Export'!B2:B81,"Atlas Health, Inc.")</f>
        <v>6</v>
      </c>
      <c r="E19" s="8" t="s">
        <v>25</v>
      </c>
      <c r="F19" s="10" t="s">
        <v>29</v>
      </c>
    </row>
    <row r="20" customFormat="false" ht="23.25" hidden="false" customHeight="true" outlineLevel="0" collapsed="false">
      <c r="A20" s="8" t="s">
        <v>30</v>
      </c>
      <c r="B20" s="12" t="s">
        <v>25</v>
      </c>
      <c r="C20" s="10" t="s">
        <v>31</v>
      </c>
      <c r="D20" s="11" t="n">
        <f aca="false">COUNTBLANK('Cleaned Accounts'!E2:E76)</f>
        <v>6</v>
      </c>
      <c r="E20" s="8" t="s">
        <v>21</v>
      </c>
      <c r="F20" s="10" t="s">
        <v>32</v>
      </c>
    </row>
    <row r="21" customFormat="false" ht="23.25" hidden="false" customHeight="true" outlineLevel="0" collapsed="false">
      <c r="A21" s="8" t="s">
        <v>33</v>
      </c>
      <c r="B21" s="12" t="s">
        <v>25</v>
      </c>
      <c r="C21" s="10" t="s">
        <v>34</v>
      </c>
      <c r="D21" s="11" t="n">
        <f aca="false">COUNTBLANK('Cleaned Accounts'!G2:G76)</f>
        <v>7</v>
      </c>
      <c r="E21" s="8" t="s">
        <v>21</v>
      </c>
      <c r="F21" s="10" t="s">
        <v>35</v>
      </c>
    </row>
    <row r="22" customFormat="false" ht="23.25" hidden="false" customHeight="true" outlineLevel="0" collapsed="false">
      <c r="A22" s="8" t="s">
        <v>36</v>
      </c>
      <c r="B22" s="9" t="s">
        <v>19</v>
      </c>
      <c r="C22" s="10" t="s">
        <v>37</v>
      </c>
      <c r="D22" s="11" t="s">
        <v>21</v>
      </c>
      <c r="E22" s="8" t="s">
        <v>21</v>
      </c>
      <c r="F22" s="10" t="s">
        <v>38</v>
      </c>
    </row>
    <row r="23" customFormat="false" ht="23.25" hidden="false" customHeight="true" outlineLevel="0" collapsed="false">
      <c r="A23" s="8" t="s">
        <v>39</v>
      </c>
      <c r="B23" s="13" t="s">
        <v>40</v>
      </c>
      <c r="C23" s="10" t="s">
        <v>41</v>
      </c>
      <c r="D23" s="11" t="n">
        <f aca="false">COUNTIF('Raw Export'!D2:D81,"Hlthcare")</f>
        <v>8</v>
      </c>
      <c r="E23" s="8" t="s">
        <v>19</v>
      </c>
      <c r="F23" s="10" t="s">
        <v>42</v>
      </c>
    </row>
    <row r="24" customFormat="false" ht="23.25" hidden="false" customHeight="true" outlineLevel="0" collapsed="false">
      <c r="A24" s="8" t="s">
        <v>43</v>
      </c>
      <c r="B24" s="13" t="s">
        <v>40</v>
      </c>
      <c r="C24" s="10" t="s">
        <v>44</v>
      </c>
      <c r="D24" s="11" t="s">
        <v>21</v>
      </c>
      <c r="E24" s="8" t="s">
        <v>21</v>
      </c>
      <c r="F24" s="10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8" min="6" style="1" width="11"/>
    <col collapsed="false" customWidth="true" hidden="false" outlineLevel="0" max="9" min="9" style="1" width="16"/>
    <col collapsed="false" customWidth="true" hidden="false" outlineLevel="0" max="10" min="10" style="1" width="48"/>
  </cols>
  <sheetData>
    <row r="1" customFormat="false" ht="23.25" hidden="false" customHeight="true" outlineLevel="0" collapsed="false">
      <c r="A1" s="7" t="s">
        <v>46</v>
      </c>
      <c r="B1" s="7" t="s">
        <v>47</v>
      </c>
      <c r="C1" s="7" t="s">
        <v>48</v>
      </c>
      <c r="D1" s="7" t="s">
        <v>49</v>
      </c>
      <c r="E1" s="7" t="s">
        <v>50</v>
      </c>
      <c r="F1" s="7" t="s">
        <v>51</v>
      </c>
      <c r="G1" s="7" t="s">
        <v>52</v>
      </c>
      <c r="H1" s="7" t="s">
        <v>16</v>
      </c>
      <c r="I1" s="7" t="s">
        <v>53</v>
      </c>
      <c r="J1" s="7" t="s">
        <v>54</v>
      </c>
    </row>
    <row r="2" customFormat="false" ht="15" hidden="false" customHeight="true" outlineLevel="0" collapsed="false">
      <c r="A2" s="8" t="s">
        <v>55</v>
      </c>
      <c r="B2" s="8" t="s">
        <v>56</v>
      </c>
      <c r="C2" s="8" t="s">
        <v>57</v>
      </c>
      <c r="D2" s="8" t="s">
        <v>58</v>
      </c>
      <c r="E2" s="8" t="s">
        <v>59</v>
      </c>
      <c r="F2" s="14" t="n">
        <v>54000</v>
      </c>
      <c r="G2" s="11" t="n">
        <v>108</v>
      </c>
      <c r="H2" s="8" t="s">
        <v>19</v>
      </c>
      <c r="I2" s="8" t="s">
        <v>60</v>
      </c>
      <c r="J2" s="8" t="s">
        <v>61</v>
      </c>
    </row>
    <row r="3" customFormat="false" ht="15" hidden="false" customHeight="true" outlineLevel="0" collapsed="false">
      <c r="A3" s="8" t="s">
        <v>62</v>
      </c>
      <c r="B3" s="8" t="s">
        <v>63</v>
      </c>
      <c r="C3" s="8" t="s">
        <v>64</v>
      </c>
      <c r="D3" s="8" t="s">
        <v>65</v>
      </c>
      <c r="E3" s="8" t="s">
        <v>66</v>
      </c>
      <c r="F3" s="14" t="n">
        <v>78000</v>
      </c>
      <c r="G3" s="11" t="n">
        <v>116</v>
      </c>
      <c r="H3" s="8" t="s">
        <v>19</v>
      </c>
      <c r="I3" s="8" t="s">
        <v>60</v>
      </c>
      <c r="J3" s="8" t="s">
        <v>61</v>
      </c>
    </row>
    <row r="4" customFormat="false" ht="15" hidden="false" customHeight="true" outlineLevel="0" collapsed="false">
      <c r="A4" s="8" t="s">
        <v>67</v>
      </c>
      <c r="B4" s="8" t="s">
        <v>68</v>
      </c>
      <c r="C4" s="8" t="s">
        <v>69</v>
      </c>
      <c r="D4" s="15"/>
      <c r="E4" s="8" t="s">
        <v>70</v>
      </c>
      <c r="F4" s="14" t="n">
        <v>102000</v>
      </c>
      <c r="G4" s="11" t="n">
        <v>124</v>
      </c>
      <c r="H4" s="8" t="s">
        <v>19</v>
      </c>
      <c r="I4" s="8" t="s">
        <v>60</v>
      </c>
      <c r="J4" s="8" t="s">
        <v>71</v>
      </c>
    </row>
    <row r="5" customFormat="false" ht="15" hidden="false" customHeight="true" outlineLevel="0" collapsed="false">
      <c r="A5" s="8" t="s">
        <v>72</v>
      </c>
      <c r="B5" s="8" t="s">
        <v>73</v>
      </c>
      <c r="C5" s="8" t="s">
        <v>74</v>
      </c>
      <c r="D5" s="8" t="s">
        <v>58</v>
      </c>
      <c r="E5" s="8" t="s">
        <v>75</v>
      </c>
      <c r="F5" s="14" t="n">
        <v>126000</v>
      </c>
      <c r="G5" s="11" t="n">
        <v>132</v>
      </c>
      <c r="H5" s="8" t="s">
        <v>19</v>
      </c>
      <c r="I5" s="8" t="s">
        <v>60</v>
      </c>
      <c r="J5" s="8" t="s">
        <v>61</v>
      </c>
    </row>
    <row r="6" customFormat="false" ht="15" hidden="false" customHeight="true" outlineLevel="0" collapsed="false">
      <c r="A6" s="8" t="s">
        <v>76</v>
      </c>
      <c r="B6" s="8" t="s">
        <v>77</v>
      </c>
      <c r="C6" s="8" t="s">
        <v>57</v>
      </c>
      <c r="D6" s="8" t="s">
        <v>65</v>
      </c>
      <c r="E6" s="8" t="s">
        <v>78</v>
      </c>
      <c r="F6" s="14" t="n">
        <v>150000</v>
      </c>
      <c r="G6" s="11" t="n">
        <v>140</v>
      </c>
      <c r="H6" s="8" t="s">
        <v>19</v>
      </c>
      <c r="I6" s="8" t="s">
        <v>60</v>
      </c>
      <c r="J6" s="8" t="s">
        <v>61</v>
      </c>
    </row>
    <row r="7" customFormat="false" ht="15" hidden="false" customHeight="true" outlineLevel="0" collapsed="false">
      <c r="A7" s="8" t="s">
        <v>79</v>
      </c>
      <c r="B7" s="8" t="s">
        <v>80</v>
      </c>
      <c r="C7" s="8" t="s">
        <v>64</v>
      </c>
      <c r="D7" s="15"/>
      <c r="E7" s="8" t="s">
        <v>81</v>
      </c>
      <c r="F7" s="14" t="n">
        <v>174000</v>
      </c>
      <c r="G7" s="11" t="n">
        <v>148</v>
      </c>
      <c r="H7" s="8" t="s">
        <v>19</v>
      </c>
      <c r="I7" s="8" t="s">
        <v>60</v>
      </c>
      <c r="J7" s="8" t="s">
        <v>71</v>
      </c>
    </row>
    <row r="8" customFormat="false" ht="15" hidden="false" customHeight="true" outlineLevel="0" collapsed="false">
      <c r="A8" s="8" t="s">
        <v>82</v>
      </c>
      <c r="B8" s="8" t="s">
        <v>83</v>
      </c>
      <c r="C8" s="8" t="s">
        <v>69</v>
      </c>
      <c r="D8" s="8" t="s">
        <v>58</v>
      </c>
      <c r="E8" s="8" t="s">
        <v>84</v>
      </c>
      <c r="F8" s="14" t="n">
        <v>198000</v>
      </c>
      <c r="G8" s="11" t="n">
        <v>156</v>
      </c>
      <c r="H8" s="8" t="s">
        <v>19</v>
      </c>
      <c r="I8" s="8" t="s">
        <v>60</v>
      </c>
      <c r="J8" s="8" t="s">
        <v>61</v>
      </c>
    </row>
    <row r="9" customFormat="false" ht="15" hidden="false" customHeight="true" outlineLevel="0" collapsed="false">
      <c r="A9" s="8" t="s">
        <v>85</v>
      </c>
      <c r="B9" s="8" t="s">
        <v>86</v>
      </c>
      <c r="C9" s="8" t="s">
        <v>74</v>
      </c>
      <c r="D9" s="8" t="s">
        <v>65</v>
      </c>
      <c r="E9" s="8" t="s">
        <v>87</v>
      </c>
      <c r="F9" s="14" t="n">
        <v>222000</v>
      </c>
      <c r="G9" s="11" t="n">
        <v>164</v>
      </c>
      <c r="H9" s="8" t="s">
        <v>19</v>
      </c>
      <c r="I9" s="8" t="s">
        <v>60</v>
      </c>
      <c r="J9" s="8" t="s">
        <v>61</v>
      </c>
    </row>
    <row r="10" customFormat="false" ht="15" hidden="false" customHeight="true" outlineLevel="0" collapsed="false">
      <c r="A10" s="8" t="s">
        <v>88</v>
      </c>
      <c r="B10" s="8" t="s">
        <v>89</v>
      </c>
      <c r="C10" s="8" t="s">
        <v>57</v>
      </c>
      <c r="D10" s="16" t="s">
        <v>90</v>
      </c>
      <c r="E10" s="8" t="s">
        <v>91</v>
      </c>
      <c r="F10" s="14" t="n">
        <v>246000</v>
      </c>
      <c r="G10" s="11" t="n">
        <v>172</v>
      </c>
      <c r="H10" s="17" t="s">
        <v>25</v>
      </c>
      <c r="I10" s="8" t="s">
        <v>60</v>
      </c>
      <c r="J10" s="8" t="s">
        <v>92</v>
      </c>
    </row>
    <row r="11" customFormat="false" ht="15" hidden="false" customHeight="true" outlineLevel="0" collapsed="false">
      <c r="A11" s="8" t="s">
        <v>93</v>
      </c>
      <c r="B11" s="8" t="s">
        <v>94</v>
      </c>
      <c r="C11" s="8" t="s">
        <v>74</v>
      </c>
      <c r="D11" s="8" t="s">
        <v>58</v>
      </c>
      <c r="E11" s="8" t="s">
        <v>95</v>
      </c>
      <c r="F11" s="14" t="n">
        <v>270000</v>
      </c>
      <c r="G11" s="11" t="n">
        <v>180</v>
      </c>
      <c r="H11" s="8" t="s">
        <v>19</v>
      </c>
      <c r="I11" s="8" t="s">
        <v>60</v>
      </c>
      <c r="J11" s="8" t="s">
        <v>61</v>
      </c>
    </row>
    <row r="12" customFormat="false" ht="15" hidden="false" customHeight="true" outlineLevel="0" collapsed="false">
      <c r="A12" s="8" t="s">
        <v>96</v>
      </c>
      <c r="B12" s="8" t="s">
        <v>97</v>
      </c>
      <c r="C12" s="8" t="s">
        <v>69</v>
      </c>
      <c r="D12" s="8" t="s">
        <v>65</v>
      </c>
      <c r="E12" s="8" t="s">
        <v>59</v>
      </c>
      <c r="F12" s="14" t="n">
        <v>294000</v>
      </c>
      <c r="G12" s="18"/>
      <c r="H12" s="8" t="s">
        <v>19</v>
      </c>
      <c r="I12" s="8" t="s">
        <v>60</v>
      </c>
      <c r="J12" s="8" t="s">
        <v>98</v>
      </c>
    </row>
    <row r="13" customFormat="false" ht="15" hidden="false" customHeight="true" outlineLevel="0" collapsed="false">
      <c r="A13" s="8" t="s">
        <v>99</v>
      </c>
      <c r="B13" s="8" t="s">
        <v>100</v>
      </c>
      <c r="C13" s="8" t="s">
        <v>57</v>
      </c>
      <c r="D13" s="8" t="s">
        <v>58</v>
      </c>
      <c r="E13" s="15"/>
      <c r="F13" s="14" t="n">
        <v>342000</v>
      </c>
      <c r="G13" s="11" t="n">
        <v>204</v>
      </c>
      <c r="H13" s="8" t="s">
        <v>19</v>
      </c>
      <c r="I13" s="8" t="s">
        <v>60</v>
      </c>
      <c r="J13" s="8" t="s">
        <v>101</v>
      </c>
    </row>
    <row r="14" customFormat="false" ht="15" hidden="false" customHeight="true" outlineLevel="0" collapsed="false">
      <c r="A14" s="8" t="s">
        <v>102</v>
      </c>
      <c r="B14" s="8" t="s">
        <v>103</v>
      </c>
      <c r="C14" s="8" t="s">
        <v>64</v>
      </c>
      <c r="D14" s="8" t="s">
        <v>65</v>
      </c>
      <c r="E14" s="8" t="s">
        <v>75</v>
      </c>
      <c r="F14" s="14" t="n">
        <v>366000</v>
      </c>
      <c r="G14" s="11" t="n">
        <v>212</v>
      </c>
      <c r="H14" s="8" t="s">
        <v>19</v>
      </c>
      <c r="I14" s="8" t="s">
        <v>60</v>
      </c>
      <c r="J14" s="8" t="s">
        <v>61</v>
      </c>
    </row>
    <row r="15" customFormat="false" ht="15" hidden="false" customHeight="true" outlineLevel="0" collapsed="false">
      <c r="A15" s="8" t="s">
        <v>104</v>
      </c>
      <c r="B15" s="8" t="s">
        <v>105</v>
      </c>
      <c r="C15" s="8" t="s">
        <v>69</v>
      </c>
      <c r="D15" s="15"/>
      <c r="E15" s="8" t="s">
        <v>78</v>
      </c>
      <c r="F15" s="14" t="n">
        <v>390000</v>
      </c>
      <c r="G15" s="11" t="n">
        <v>220</v>
      </c>
      <c r="H15" s="8" t="s">
        <v>19</v>
      </c>
      <c r="I15" s="8" t="s">
        <v>60</v>
      </c>
      <c r="J15" s="8" t="s">
        <v>71</v>
      </c>
    </row>
    <row r="16" customFormat="false" ht="15" hidden="false" customHeight="true" outlineLevel="0" collapsed="false">
      <c r="A16" s="8" t="s">
        <v>106</v>
      </c>
      <c r="B16" s="8" t="s">
        <v>107</v>
      </c>
      <c r="C16" s="8" t="s">
        <v>74</v>
      </c>
      <c r="D16" s="8" t="s">
        <v>58</v>
      </c>
      <c r="E16" s="8" t="s">
        <v>81</v>
      </c>
      <c r="F16" s="14" t="n">
        <v>414000</v>
      </c>
      <c r="G16" s="11" t="n">
        <v>228</v>
      </c>
      <c r="H16" s="8" t="s">
        <v>19</v>
      </c>
      <c r="I16" s="8" t="s">
        <v>60</v>
      </c>
      <c r="J16" s="8" t="s">
        <v>61</v>
      </c>
    </row>
    <row r="17" customFormat="false" ht="15" hidden="false" customHeight="true" outlineLevel="0" collapsed="false">
      <c r="A17" s="8" t="s">
        <v>108</v>
      </c>
      <c r="B17" s="8" t="s">
        <v>109</v>
      </c>
      <c r="C17" s="8" t="s">
        <v>57</v>
      </c>
      <c r="D17" s="8" t="s">
        <v>65</v>
      </c>
      <c r="E17" s="8" t="s">
        <v>84</v>
      </c>
      <c r="F17" s="14" t="n">
        <v>438000</v>
      </c>
      <c r="G17" s="11" t="n">
        <v>236</v>
      </c>
      <c r="H17" s="8" t="s">
        <v>19</v>
      </c>
      <c r="I17" s="8" t="s">
        <v>60</v>
      </c>
      <c r="J17" s="8" t="s">
        <v>61</v>
      </c>
    </row>
    <row r="18" customFormat="false" ht="15" hidden="false" customHeight="true" outlineLevel="0" collapsed="false">
      <c r="A18" s="8" t="s">
        <v>110</v>
      </c>
      <c r="B18" s="8" t="s">
        <v>111</v>
      </c>
      <c r="C18" s="8" t="s">
        <v>64</v>
      </c>
      <c r="D18" s="16" t="s">
        <v>90</v>
      </c>
      <c r="E18" s="8" t="s">
        <v>87</v>
      </c>
      <c r="F18" s="14" t="n">
        <v>30000</v>
      </c>
      <c r="G18" s="11" t="n">
        <v>244</v>
      </c>
      <c r="H18" s="17" t="s">
        <v>25</v>
      </c>
      <c r="I18" s="8" t="s">
        <v>60</v>
      </c>
      <c r="J18" s="8" t="s">
        <v>92</v>
      </c>
    </row>
    <row r="19" customFormat="false" ht="15" hidden="false" customHeight="true" outlineLevel="0" collapsed="false">
      <c r="A19" s="8" t="s">
        <v>112</v>
      </c>
      <c r="B19" s="8" t="s">
        <v>113</v>
      </c>
      <c r="C19" s="8" t="s">
        <v>69</v>
      </c>
      <c r="D19" s="8" t="s">
        <v>58</v>
      </c>
      <c r="E19" s="8" t="s">
        <v>91</v>
      </c>
      <c r="F19" s="14" t="n">
        <v>54000</v>
      </c>
      <c r="G19" s="11" t="n">
        <v>252</v>
      </c>
      <c r="H19" s="8" t="s">
        <v>19</v>
      </c>
      <c r="I19" s="8" t="s">
        <v>60</v>
      </c>
      <c r="J19" s="8" t="s">
        <v>61</v>
      </c>
    </row>
    <row r="20" customFormat="false" ht="15" hidden="false" customHeight="true" outlineLevel="0" collapsed="false">
      <c r="A20" s="8" t="s">
        <v>114</v>
      </c>
      <c r="B20" s="8" t="s">
        <v>115</v>
      </c>
      <c r="C20" s="8" t="s">
        <v>74</v>
      </c>
      <c r="D20" s="8" t="s">
        <v>65</v>
      </c>
      <c r="E20" s="8" t="s">
        <v>95</v>
      </c>
      <c r="F20" s="14" t="n">
        <v>78000</v>
      </c>
      <c r="G20" s="11" t="n">
        <v>260</v>
      </c>
      <c r="H20" s="8" t="s">
        <v>19</v>
      </c>
      <c r="I20" s="8" t="s">
        <v>60</v>
      </c>
      <c r="J20" s="8" t="s">
        <v>61</v>
      </c>
    </row>
    <row r="21" customFormat="false" ht="15" hidden="false" customHeight="true" outlineLevel="0" collapsed="false">
      <c r="A21" s="8" t="s">
        <v>116</v>
      </c>
      <c r="B21" s="8" t="s">
        <v>117</v>
      </c>
      <c r="C21" s="8" t="s">
        <v>57</v>
      </c>
      <c r="D21" s="15"/>
      <c r="E21" s="8" t="s">
        <v>59</v>
      </c>
      <c r="F21" s="14" t="n">
        <v>102000</v>
      </c>
      <c r="G21" s="11" t="n">
        <v>268</v>
      </c>
      <c r="H21" s="8" t="s">
        <v>19</v>
      </c>
      <c r="I21" s="8" t="s">
        <v>60</v>
      </c>
      <c r="J21" s="8" t="s">
        <v>71</v>
      </c>
    </row>
    <row r="22" customFormat="false" ht="15" hidden="false" customHeight="true" outlineLevel="0" collapsed="false">
      <c r="A22" s="8" t="s">
        <v>118</v>
      </c>
      <c r="B22" s="8" t="s">
        <v>119</v>
      </c>
      <c r="C22" s="8" t="s">
        <v>64</v>
      </c>
      <c r="D22" s="8" t="s">
        <v>58</v>
      </c>
      <c r="E22" s="8" t="s">
        <v>66</v>
      </c>
      <c r="F22" s="14" t="n">
        <v>126000</v>
      </c>
      <c r="G22" s="18"/>
      <c r="H22" s="8" t="s">
        <v>19</v>
      </c>
      <c r="I22" s="8" t="s">
        <v>60</v>
      </c>
      <c r="J22" s="8" t="s">
        <v>98</v>
      </c>
    </row>
    <row r="23" customFormat="false" ht="15" hidden="false" customHeight="true" outlineLevel="0" collapsed="false">
      <c r="A23" s="8" t="s">
        <v>120</v>
      </c>
      <c r="B23" s="8" t="s">
        <v>121</v>
      </c>
      <c r="C23" s="8" t="s">
        <v>69</v>
      </c>
      <c r="D23" s="8" t="s">
        <v>65</v>
      </c>
      <c r="E23" s="8" t="s">
        <v>70</v>
      </c>
      <c r="F23" s="14" t="n">
        <v>150000</v>
      </c>
      <c r="G23" s="11" t="n">
        <v>284</v>
      </c>
      <c r="H23" s="8" t="s">
        <v>19</v>
      </c>
      <c r="I23" s="8" t="s">
        <v>60</v>
      </c>
      <c r="J23" s="8" t="s">
        <v>61</v>
      </c>
    </row>
    <row r="24" customFormat="false" ht="15" hidden="false" customHeight="true" outlineLevel="0" collapsed="false">
      <c r="A24" s="8" t="s">
        <v>122</v>
      </c>
      <c r="B24" s="8" t="s">
        <v>123</v>
      </c>
      <c r="C24" s="8" t="s">
        <v>57</v>
      </c>
      <c r="D24" s="8" t="s">
        <v>58</v>
      </c>
      <c r="E24" s="8" t="s">
        <v>78</v>
      </c>
      <c r="F24" s="14" t="n">
        <v>198000</v>
      </c>
      <c r="G24" s="11" t="n">
        <v>300</v>
      </c>
      <c r="H24" s="8" t="s">
        <v>19</v>
      </c>
      <c r="I24" s="8" t="s">
        <v>60</v>
      </c>
      <c r="J24" s="8" t="s">
        <v>61</v>
      </c>
    </row>
    <row r="25" customFormat="false" ht="15" hidden="false" customHeight="true" outlineLevel="0" collapsed="false">
      <c r="A25" s="8" t="s">
        <v>124</v>
      </c>
      <c r="B25" s="8" t="s">
        <v>125</v>
      </c>
      <c r="C25" s="8" t="s">
        <v>64</v>
      </c>
      <c r="D25" s="8" t="s">
        <v>65</v>
      </c>
      <c r="E25" s="15"/>
      <c r="F25" s="14" t="n">
        <v>222000</v>
      </c>
      <c r="G25" s="11" t="n">
        <v>308</v>
      </c>
      <c r="H25" s="8" t="s">
        <v>19</v>
      </c>
      <c r="I25" s="8" t="s">
        <v>60</v>
      </c>
      <c r="J25" s="8" t="s">
        <v>101</v>
      </c>
    </row>
    <row r="26" customFormat="false" ht="15" hidden="false" customHeight="true" outlineLevel="0" collapsed="false">
      <c r="A26" s="8" t="s">
        <v>126</v>
      </c>
      <c r="B26" s="8" t="s">
        <v>127</v>
      </c>
      <c r="C26" s="8" t="s">
        <v>69</v>
      </c>
      <c r="D26" s="16" t="s">
        <v>90</v>
      </c>
      <c r="E26" s="8" t="s">
        <v>84</v>
      </c>
      <c r="F26" s="14" t="n">
        <v>246000</v>
      </c>
      <c r="G26" s="11" t="n">
        <v>316</v>
      </c>
      <c r="H26" s="17" t="s">
        <v>25</v>
      </c>
      <c r="I26" s="8" t="s">
        <v>60</v>
      </c>
      <c r="J26" s="8" t="s">
        <v>92</v>
      </c>
    </row>
    <row r="27" customFormat="false" ht="15" hidden="false" customHeight="true" outlineLevel="0" collapsed="false">
      <c r="A27" s="8" t="s">
        <v>128</v>
      </c>
      <c r="B27" s="8" t="s">
        <v>129</v>
      </c>
      <c r="C27" s="8" t="s">
        <v>74</v>
      </c>
      <c r="D27" s="8" t="s">
        <v>58</v>
      </c>
      <c r="E27" s="8" t="s">
        <v>87</v>
      </c>
      <c r="F27" s="14" t="n">
        <v>270000</v>
      </c>
      <c r="G27" s="11" t="n">
        <v>324</v>
      </c>
      <c r="H27" s="8" t="s">
        <v>19</v>
      </c>
      <c r="I27" s="8" t="s">
        <v>60</v>
      </c>
      <c r="J27" s="8" t="s">
        <v>61</v>
      </c>
    </row>
    <row r="28" customFormat="false" ht="15" hidden="false" customHeight="true" outlineLevel="0" collapsed="false">
      <c r="A28" s="8" t="s">
        <v>130</v>
      </c>
      <c r="B28" s="8" t="s">
        <v>131</v>
      </c>
      <c r="C28" s="8" t="s">
        <v>57</v>
      </c>
      <c r="D28" s="8" t="s">
        <v>65</v>
      </c>
      <c r="E28" s="8" t="s">
        <v>91</v>
      </c>
      <c r="F28" s="14" t="n">
        <v>294000</v>
      </c>
      <c r="G28" s="11" t="n">
        <v>332</v>
      </c>
      <c r="H28" s="8" t="s">
        <v>19</v>
      </c>
      <c r="I28" s="8" t="s">
        <v>60</v>
      </c>
      <c r="J28" s="8" t="s">
        <v>61</v>
      </c>
    </row>
    <row r="29" customFormat="false" ht="15" hidden="false" customHeight="true" outlineLevel="0" collapsed="false">
      <c r="A29" s="8" t="s">
        <v>132</v>
      </c>
      <c r="B29" s="8" t="s">
        <v>133</v>
      </c>
      <c r="C29" s="8" t="s">
        <v>74</v>
      </c>
      <c r="D29" s="15"/>
      <c r="E29" s="8" t="s">
        <v>95</v>
      </c>
      <c r="F29" s="14" t="n">
        <v>318000</v>
      </c>
      <c r="G29" s="11" t="n">
        <v>340</v>
      </c>
      <c r="H29" s="8" t="s">
        <v>19</v>
      </c>
      <c r="I29" s="8" t="s">
        <v>60</v>
      </c>
      <c r="J29" s="8" t="s">
        <v>71</v>
      </c>
    </row>
    <row r="30" customFormat="false" ht="15" hidden="false" customHeight="true" outlineLevel="0" collapsed="false">
      <c r="A30" s="8" t="s">
        <v>134</v>
      </c>
      <c r="B30" s="8" t="s">
        <v>135</v>
      </c>
      <c r="C30" s="8" t="s">
        <v>69</v>
      </c>
      <c r="D30" s="8" t="s">
        <v>58</v>
      </c>
      <c r="E30" s="8" t="s">
        <v>59</v>
      </c>
      <c r="F30" s="14" t="n">
        <v>342000</v>
      </c>
      <c r="G30" s="11" t="n">
        <v>348</v>
      </c>
      <c r="H30" s="8" t="s">
        <v>19</v>
      </c>
      <c r="I30" s="8" t="s">
        <v>60</v>
      </c>
      <c r="J30" s="8" t="s">
        <v>61</v>
      </c>
    </row>
    <row r="31" customFormat="false" ht="15" hidden="false" customHeight="true" outlineLevel="0" collapsed="false">
      <c r="A31" s="8" t="s">
        <v>136</v>
      </c>
      <c r="B31" s="8" t="s">
        <v>137</v>
      </c>
      <c r="C31" s="8" t="s">
        <v>74</v>
      </c>
      <c r="D31" s="8" t="s">
        <v>65</v>
      </c>
      <c r="E31" s="8" t="s">
        <v>66</v>
      </c>
      <c r="F31" s="14" t="n">
        <v>366000</v>
      </c>
      <c r="G31" s="11" t="n">
        <v>356</v>
      </c>
      <c r="H31" s="8" t="s">
        <v>19</v>
      </c>
      <c r="I31" s="8" t="s">
        <v>60</v>
      </c>
      <c r="J31" s="8" t="s">
        <v>61</v>
      </c>
    </row>
    <row r="32" customFormat="false" ht="15" hidden="false" customHeight="true" outlineLevel="0" collapsed="false">
      <c r="A32" s="8" t="s">
        <v>138</v>
      </c>
      <c r="B32" s="8" t="s">
        <v>139</v>
      </c>
      <c r="C32" s="8" t="s">
        <v>57</v>
      </c>
      <c r="D32" s="15"/>
      <c r="E32" s="8" t="s">
        <v>70</v>
      </c>
      <c r="F32" s="14" t="n">
        <v>390000</v>
      </c>
      <c r="G32" s="18"/>
      <c r="H32" s="8" t="s">
        <v>19</v>
      </c>
      <c r="I32" s="8" t="s">
        <v>60</v>
      </c>
      <c r="J32" s="8" t="s">
        <v>140</v>
      </c>
    </row>
    <row r="33" customFormat="false" ht="15" hidden="false" customHeight="true" outlineLevel="0" collapsed="false">
      <c r="A33" s="8" t="s">
        <v>141</v>
      </c>
      <c r="B33" s="8" t="s">
        <v>142</v>
      </c>
      <c r="C33" s="8" t="s">
        <v>64</v>
      </c>
      <c r="D33" s="8" t="s">
        <v>58</v>
      </c>
      <c r="E33" s="8" t="s">
        <v>75</v>
      </c>
      <c r="F33" s="14" t="n">
        <v>414000</v>
      </c>
      <c r="G33" s="11" t="n">
        <v>372</v>
      </c>
      <c r="H33" s="8" t="s">
        <v>19</v>
      </c>
      <c r="I33" s="8" t="s">
        <v>60</v>
      </c>
      <c r="J33" s="8" t="s">
        <v>61</v>
      </c>
    </row>
    <row r="34" customFormat="false" ht="15" hidden="false" customHeight="true" outlineLevel="0" collapsed="false">
      <c r="A34" s="8" t="s">
        <v>143</v>
      </c>
      <c r="B34" s="8" t="s">
        <v>144</v>
      </c>
      <c r="C34" s="8" t="s">
        <v>69</v>
      </c>
      <c r="D34" s="8" t="s">
        <v>65</v>
      </c>
      <c r="E34" s="8" t="s">
        <v>78</v>
      </c>
      <c r="F34" s="14" t="n">
        <v>438000</v>
      </c>
      <c r="G34" s="11" t="n">
        <v>380</v>
      </c>
      <c r="H34" s="8" t="s">
        <v>19</v>
      </c>
      <c r="I34" s="8" t="s">
        <v>60</v>
      </c>
      <c r="J34" s="8" t="s">
        <v>61</v>
      </c>
    </row>
    <row r="35" customFormat="false" ht="15" hidden="false" customHeight="true" outlineLevel="0" collapsed="false">
      <c r="A35" s="8" t="s">
        <v>145</v>
      </c>
      <c r="B35" s="8" t="s">
        <v>146</v>
      </c>
      <c r="C35" s="8" t="s">
        <v>57</v>
      </c>
      <c r="D35" s="8" t="s">
        <v>58</v>
      </c>
      <c r="E35" s="8" t="s">
        <v>84</v>
      </c>
      <c r="F35" s="14" t="n">
        <v>54000</v>
      </c>
      <c r="G35" s="11" t="n">
        <v>396</v>
      </c>
      <c r="H35" s="8" t="s">
        <v>19</v>
      </c>
      <c r="I35" s="8" t="s">
        <v>60</v>
      </c>
      <c r="J35" s="8" t="s">
        <v>61</v>
      </c>
    </row>
    <row r="36" customFormat="false" ht="15" hidden="false" customHeight="true" outlineLevel="0" collapsed="false">
      <c r="A36" s="8" t="s">
        <v>147</v>
      </c>
      <c r="B36" s="8" t="s">
        <v>148</v>
      </c>
      <c r="C36" s="8" t="s">
        <v>64</v>
      </c>
      <c r="D36" s="8" t="s">
        <v>65</v>
      </c>
      <c r="E36" s="8" t="s">
        <v>87</v>
      </c>
      <c r="F36" s="14" t="n">
        <v>78000</v>
      </c>
      <c r="G36" s="11" t="n">
        <v>404</v>
      </c>
      <c r="H36" s="8" t="s">
        <v>19</v>
      </c>
      <c r="I36" s="8" t="s">
        <v>60</v>
      </c>
      <c r="J36" s="8" t="s">
        <v>61</v>
      </c>
    </row>
    <row r="37" customFormat="false" ht="15" hidden="false" customHeight="true" outlineLevel="0" collapsed="false">
      <c r="A37" s="8" t="s">
        <v>149</v>
      </c>
      <c r="B37" s="8" t="s">
        <v>150</v>
      </c>
      <c r="C37" s="8" t="s">
        <v>69</v>
      </c>
      <c r="D37" s="15"/>
      <c r="E37" s="15"/>
      <c r="F37" s="14" t="n">
        <v>102000</v>
      </c>
      <c r="G37" s="11" t="n">
        <v>412</v>
      </c>
      <c r="H37" s="8" t="s">
        <v>19</v>
      </c>
      <c r="I37" s="8" t="s">
        <v>60</v>
      </c>
      <c r="J37" s="8" t="s">
        <v>151</v>
      </c>
    </row>
    <row r="38" customFormat="false" ht="15" hidden="false" customHeight="true" outlineLevel="0" collapsed="false">
      <c r="A38" s="8" t="s">
        <v>152</v>
      </c>
      <c r="B38" s="8" t="s">
        <v>153</v>
      </c>
      <c r="C38" s="8" t="s">
        <v>74</v>
      </c>
      <c r="D38" s="8" t="s">
        <v>58</v>
      </c>
      <c r="E38" s="8" t="s">
        <v>95</v>
      </c>
      <c r="F38" s="14" t="n">
        <v>126000</v>
      </c>
      <c r="G38" s="11" t="n">
        <v>420</v>
      </c>
      <c r="H38" s="8" t="s">
        <v>19</v>
      </c>
      <c r="I38" s="8" t="s">
        <v>60</v>
      </c>
      <c r="J38" s="8" t="s">
        <v>61</v>
      </c>
    </row>
    <row r="39" customFormat="false" ht="15" hidden="false" customHeight="true" outlineLevel="0" collapsed="false">
      <c r="A39" s="8" t="s">
        <v>154</v>
      </c>
      <c r="B39" s="8" t="s">
        <v>155</v>
      </c>
      <c r="C39" s="8" t="s">
        <v>57</v>
      </c>
      <c r="D39" s="8" t="s">
        <v>65</v>
      </c>
      <c r="E39" s="8" t="s">
        <v>59</v>
      </c>
      <c r="F39" s="14" t="n">
        <v>150000</v>
      </c>
      <c r="G39" s="11" t="n">
        <v>428</v>
      </c>
      <c r="H39" s="8" t="s">
        <v>19</v>
      </c>
      <c r="I39" s="8" t="s">
        <v>60</v>
      </c>
      <c r="J39" s="8" t="s">
        <v>61</v>
      </c>
    </row>
    <row r="40" customFormat="false" ht="15" hidden="false" customHeight="true" outlineLevel="0" collapsed="false">
      <c r="A40" s="8" t="s">
        <v>156</v>
      </c>
      <c r="B40" s="8" t="s">
        <v>157</v>
      </c>
      <c r="C40" s="8" t="s">
        <v>64</v>
      </c>
      <c r="D40" s="15"/>
      <c r="E40" s="8" t="s">
        <v>66</v>
      </c>
      <c r="F40" s="14" t="n">
        <v>174000</v>
      </c>
      <c r="G40" s="11" t="n">
        <v>436</v>
      </c>
      <c r="H40" s="8" t="s">
        <v>19</v>
      </c>
      <c r="I40" s="8" t="s">
        <v>60</v>
      </c>
      <c r="J40" s="8" t="s">
        <v>71</v>
      </c>
    </row>
    <row r="41" customFormat="false" ht="15" hidden="false" customHeight="true" outlineLevel="0" collapsed="false">
      <c r="A41" s="8" t="s">
        <v>158</v>
      </c>
      <c r="B41" s="8" t="s">
        <v>159</v>
      </c>
      <c r="C41" s="8" t="s">
        <v>69</v>
      </c>
      <c r="D41" s="8" t="s">
        <v>58</v>
      </c>
      <c r="E41" s="8" t="s">
        <v>70</v>
      </c>
      <c r="F41" s="14" t="n">
        <v>198000</v>
      </c>
      <c r="G41" s="11" t="n">
        <v>444</v>
      </c>
      <c r="H41" s="8" t="s">
        <v>19</v>
      </c>
      <c r="I41" s="8" t="s">
        <v>60</v>
      </c>
      <c r="J41" s="8" t="s">
        <v>61</v>
      </c>
    </row>
    <row r="42" customFormat="false" ht="15" hidden="false" customHeight="true" outlineLevel="0" collapsed="false">
      <c r="A42" s="8" t="s">
        <v>160</v>
      </c>
      <c r="B42" s="8" t="s">
        <v>161</v>
      </c>
      <c r="C42" s="8" t="s">
        <v>74</v>
      </c>
      <c r="D42" s="8" t="s">
        <v>65</v>
      </c>
      <c r="E42" s="8" t="s">
        <v>75</v>
      </c>
      <c r="F42" s="14" t="n">
        <v>222000</v>
      </c>
      <c r="G42" s="18"/>
      <c r="H42" s="8" t="s">
        <v>19</v>
      </c>
      <c r="I42" s="8" t="s">
        <v>60</v>
      </c>
      <c r="J42" s="8" t="s">
        <v>98</v>
      </c>
    </row>
    <row r="43" customFormat="false" ht="15" hidden="false" customHeight="true" outlineLevel="0" collapsed="false">
      <c r="A43" s="8" t="s">
        <v>162</v>
      </c>
      <c r="B43" s="8" t="s">
        <v>163</v>
      </c>
      <c r="C43" s="8" t="s">
        <v>57</v>
      </c>
      <c r="D43" s="16" t="s">
        <v>90</v>
      </c>
      <c r="E43" s="8" t="s">
        <v>78</v>
      </c>
      <c r="F43" s="14" t="n">
        <v>246000</v>
      </c>
      <c r="G43" s="11" t="n">
        <v>460</v>
      </c>
      <c r="H43" s="17" t="s">
        <v>25</v>
      </c>
      <c r="I43" s="8" t="s">
        <v>60</v>
      </c>
      <c r="J43" s="8" t="s">
        <v>92</v>
      </c>
    </row>
    <row r="44" customFormat="false" ht="15" hidden="false" customHeight="true" outlineLevel="0" collapsed="false">
      <c r="A44" s="8" t="s">
        <v>164</v>
      </c>
      <c r="B44" s="8" t="s">
        <v>165</v>
      </c>
      <c r="C44" s="8" t="s">
        <v>64</v>
      </c>
      <c r="D44" s="8" t="s">
        <v>58</v>
      </c>
      <c r="E44" s="8" t="s">
        <v>81</v>
      </c>
      <c r="F44" s="14" t="n">
        <v>270000</v>
      </c>
      <c r="G44" s="11" t="n">
        <v>468</v>
      </c>
      <c r="H44" s="8" t="s">
        <v>19</v>
      </c>
      <c r="I44" s="8" t="s">
        <v>60</v>
      </c>
      <c r="J44" s="8" t="s">
        <v>61</v>
      </c>
    </row>
    <row r="45" customFormat="false" ht="15" hidden="false" customHeight="true" outlineLevel="0" collapsed="false">
      <c r="A45" s="8" t="s">
        <v>166</v>
      </c>
      <c r="B45" s="8" t="s">
        <v>167</v>
      </c>
      <c r="C45" s="8" t="s">
        <v>69</v>
      </c>
      <c r="D45" s="8" t="s">
        <v>65</v>
      </c>
      <c r="E45" s="8" t="s">
        <v>84</v>
      </c>
      <c r="F45" s="14" t="n">
        <v>294000</v>
      </c>
      <c r="G45" s="11" t="n">
        <v>476</v>
      </c>
      <c r="H45" s="8" t="s">
        <v>19</v>
      </c>
      <c r="I45" s="8" t="s">
        <v>60</v>
      </c>
      <c r="J45" s="8" t="s">
        <v>61</v>
      </c>
    </row>
    <row r="46" customFormat="false" ht="15" hidden="false" customHeight="true" outlineLevel="0" collapsed="false">
      <c r="A46" s="8" t="s">
        <v>168</v>
      </c>
      <c r="B46" s="8" t="s">
        <v>169</v>
      </c>
      <c r="C46" s="8" t="s">
        <v>57</v>
      </c>
      <c r="D46" s="8" t="s">
        <v>58</v>
      </c>
      <c r="E46" s="8" t="s">
        <v>91</v>
      </c>
      <c r="F46" s="14" t="n">
        <v>342000</v>
      </c>
      <c r="G46" s="11" t="n">
        <v>492</v>
      </c>
      <c r="H46" s="8" t="s">
        <v>19</v>
      </c>
      <c r="I46" s="8" t="s">
        <v>60</v>
      </c>
      <c r="J46" s="8" t="s">
        <v>61</v>
      </c>
    </row>
    <row r="47" customFormat="false" ht="15" hidden="false" customHeight="true" outlineLevel="0" collapsed="false">
      <c r="A47" s="8" t="s">
        <v>170</v>
      </c>
      <c r="B47" s="8" t="s">
        <v>171</v>
      </c>
      <c r="C47" s="8" t="s">
        <v>74</v>
      </c>
      <c r="D47" s="8" t="s">
        <v>65</v>
      </c>
      <c r="E47" s="8" t="s">
        <v>95</v>
      </c>
      <c r="F47" s="14" t="n">
        <v>366000</v>
      </c>
      <c r="G47" s="11" t="n">
        <v>500</v>
      </c>
      <c r="H47" s="8" t="s">
        <v>19</v>
      </c>
      <c r="I47" s="8" t="s">
        <v>60</v>
      </c>
      <c r="J47" s="8" t="s">
        <v>61</v>
      </c>
    </row>
    <row r="48" customFormat="false" ht="15" hidden="false" customHeight="true" outlineLevel="0" collapsed="false">
      <c r="A48" s="8" t="s">
        <v>172</v>
      </c>
      <c r="B48" s="8" t="s">
        <v>173</v>
      </c>
      <c r="C48" s="8" t="s">
        <v>69</v>
      </c>
      <c r="D48" s="15"/>
      <c r="E48" s="8" t="s">
        <v>59</v>
      </c>
      <c r="F48" s="14" t="n">
        <v>390000</v>
      </c>
      <c r="G48" s="11" t="n">
        <v>508</v>
      </c>
      <c r="H48" s="8" t="s">
        <v>19</v>
      </c>
      <c r="I48" s="8" t="s">
        <v>60</v>
      </c>
      <c r="J48" s="8" t="s">
        <v>71</v>
      </c>
    </row>
    <row r="49" customFormat="false" ht="15" hidden="false" customHeight="true" outlineLevel="0" collapsed="false">
      <c r="A49" s="8" t="s">
        <v>174</v>
      </c>
      <c r="B49" s="8" t="s">
        <v>175</v>
      </c>
      <c r="C49" s="8" t="s">
        <v>74</v>
      </c>
      <c r="D49" s="8" t="s">
        <v>58</v>
      </c>
      <c r="E49" s="15"/>
      <c r="F49" s="14" t="n">
        <v>414000</v>
      </c>
      <c r="G49" s="11" t="n">
        <v>516</v>
      </c>
      <c r="H49" s="8" t="s">
        <v>19</v>
      </c>
      <c r="I49" s="8" t="s">
        <v>60</v>
      </c>
      <c r="J49" s="8" t="s">
        <v>101</v>
      </c>
    </row>
    <row r="50" customFormat="false" ht="15" hidden="false" customHeight="true" outlineLevel="0" collapsed="false">
      <c r="A50" s="8" t="s">
        <v>176</v>
      </c>
      <c r="B50" s="8" t="s">
        <v>177</v>
      </c>
      <c r="C50" s="8" t="s">
        <v>57</v>
      </c>
      <c r="D50" s="8" t="s">
        <v>65</v>
      </c>
      <c r="E50" s="8" t="s">
        <v>70</v>
      </c>
      <c r="F50" s="14" t="n">
        <v>438000</v>
      </c>
      <c r="G50" s="11" t="n">
        <v>524</v>
      </c>
      <c r="H50" s="8" t="s">
        <v>19</v>
      </c>
      <c r="I50" s="8" t="s">
        <v>60</v>
      </c>
      <c r="J50" s="8" t="s">
        <v>61</v>
      </c>
    </row>
    <row r="51" customFormat="false" ht="15" hidden="false" customHeight="true" outlineLevel="0" collapsed="false">
      <c r="A51" s="8" t="s">
        <v>178</v>
      </c>
      <c r="B51" s="8" t="s">
        <v>179</v>
      </c>
      <c r="C51" s="8" t="s">
        <v>64</v>
      </c>
      <c r="D51" s="16" t="s">
        <v>90</v>
      </c>
      <c r="E51" s="8" t="s">
        <v>75</v>
      </c>
      <c r="F51" s="14" t="n">
        <v>30000</v>
      </c>
      <c r="G51" s="11" t="n">
        <v>532</v>
      </c>
      <c r="H51" s="17" t="s">
        <v>25</v>
      </c>
      <c r="I51" s="8" t="s">
        <v>60</v>
      </c>
      <c r="J51" s="8" t="s">
        <v>92</v>
      </c>
    </row>
    <row r="52" customFormat="false" ht="15" hidden="false" customHeight="true" outlineLevel="0" collapsed="false">
      <c r="A52" s="8" t="s">
        <v>180</v>
      </c>
      <c r="B52" s="8" t="s">
        <v>181</v>
      </c>
      <c r="C52" s="8" t="s">
        <v>69</v>
      </c>
      <c r="D52" s="8" t="s">
        <v>58</v>
      </c>
      <c r="E52" s="8" t="s">
        <v>78</v>
      </c>
      <c r="F52" s="14" t="n">
        <v>54000</v>
      </c>
      <c r="G52" s="18"/>
      <c r="H52" s="8" t="s">
        <v>19</v>
      </c>
      <c r="I52" s="8" t="s">
        <v>60</v>
      </c>
      <c r="J52" s="8" t="s">
        <v>98</v>
      </c>
    </row>
    <row r="53" customFormat="false" ht="15" hidden="false" customHeight="true" outlineLevel="0" collapsed="false">
      <c r="A53" s="8" t="s">
        <v>182</v>
      </c>
      <c r="B53" s="8" t="s">
        <v>183</v>
      </c>
      <c r="C53" s="8" t="s">
        <v>74</v>
      </c>
      <c r="D53" s="8" t="s">
        <v>65</v>
      </c>
      <c r="E53" s="8" t="s">
        <v>81</v>
      </c>
      <c r="F53" s="14" t="n">
        <v>78000</v>
      </c>
      <c r="G53" s="11" t="n">
        <v>548</v>
      </c>
      <c r="H53" s="8" t="s">
        <v>19</v>
      </c>
      <c r="I53" s="8" t="s">
        <v>60</v>
      </c>
      <c r="J53" s="8" t="s">
        <v>61</v>
      </c>
    </row>
    <row r="54" customFormat="false" ht="15" hidden="false" customHeight="true" outlineLevel="0" collapsed="false">
      <c r="A54" s="8" t="s">
        <v>184</v>
      </c>
      <c r="B54" s="8" t="s">
        <v>185</v>
      </c>
      <c r="C54" s="8" t="s">
        <v>57</v>
      </c>
      <c r="D54" s="15"/>
      <c r="E54" s="8" t="s">
        <v>84</v>
      </c>
      <c r="F54" s="14" t="n">
        <v>102000</v>
      </c>
      <c r="G54" s="11" t="n">
        <v>556</v>
      </c>
      <c r="H54" s="8" t="s">
        <v>19</v>
      </c>
      <c r="I54" s="8" t="s">
        <v>60</v>
      </c>
      <c r="J54" s="8" t="s">
        <v>71</v>
      </c>
    </row>
    <row r="55" customFormat="false" ht="15" hidden="false" customHeight="true" outlineLevel="0" collapsed="false">
      <c r="A55" s="8" t="s">
        <v>186</v>
      </c>
      <c r="B55" s="8" t="s">
        <v>187</v>
      </c>
      <c r="C55" s="8" t="s">
        <v>64</v>
      </c>
      <c r="D55" s="8" t="s">
        <v>58</v>
      </c>
      <c r="E55" s="8" t="s">
        <v>87</v>
      </c>
      <c r="F55" s="14" t="n">
        <v>126000</v>
      </c>
      <c r="G55" s="11" t="n">
        <v>564</v>
      </c>
      <c r="H55" s="8" t="s">
        <v>19</v>
      </c>
      <c r="I55" s="8" t="s">
        <v>60</v>
      </c>
      <c r="J55" s="8" t="s">
        <v>61</v>
      </c>
    </row>
    <row r="56" customFormat="false" ht="15" hidden="false" customHeight="true" outlineLevel="0" collapsed="false">
      <c r="A56" s="8" t="s">
        <v>188</v>
      </c>
      <c r="B56" s="8" t="s">
        <v>189</v>
      </c>
      <c r="C56" s="8" t="s">
        <v>69</v>
      </c>
      <c r="D56" s="8" t="s">
        <v>65</v>
      </c>
      <c r="E56" s="8" t="s">
        <v>91</v>
      </c>
      <c r="F56" s="14" t="n">
        <v>150000</v>
      </c>
      <c r="G56" s="11" t="n">
        <v>572</v>
      </c>
      <c r="H56" s="8" t="s">
        <v>19</v>
      </c>
      <c r="I56" s="8" t="s">
        <v>60</v>
      </c>
      <c r="J56" s="8" t="s">
        <v>61</v>
      </c>
    </row>
    <row r="57" customFormat="false" ht="15" hidden="false" customHeight="true" outlineLevel="0" collapsed="false">
      <c r="A57" s="8" t="s">
        <v>190</v>
      </c>
      <c r="B57" s="8" t="s">
        <v>191</v>
      </c>
      <c r="C57" s="8" t="s">
        <v>57</v>
      </c>
      <c r="D57" s="8" t="s">
        <v>58</v>
      </c>
      <c r="E57" s="8" t="s">
        <v>59</v>
      </c>
      <c r="F57" s="14" t="n">
        <v>198000</v>
      </c>
      <c r="G57" s="11" t="n">
        <v>588</v>
      </c>
      <c r="H57" s="8" t="s">
        <v>19</v>
      </c>
      <c r="I57" s="8" t="s">
        <v>60</v>
      </c>
      <c r="J57" s="8" t="s">
        <v>61</v>
      </c>
    </row>
    <row r="58" customFormat="false" ht="15" hidden="false" customHeight="true" outlineLevel="0" collapsed="false">
      <c r="A58" s="8" t="s">
        <v>192</v>
      </c>
      <c r="B58" s="8" t="s">
        <v>193</v>
      </c>
      <c r="C58" s="8" t="s">
        <v>64</v>
      </c>
      <c r="D58" s="8" t="s">
        <v>65</v>
      </c>
      <c r="E58" s="8" t="s">
        <v>66</v>
      </c>
      <c r="F58" s="14" t="n">
        <v>222000</v>
      </c>
      <c r="G58" s="11" t="n">
        <v>596</v>
      </c>
      <c r="H58" s="8" t="s">
        <v>19</v>
      </c>
      <c r="I58" s="8" t="s">
        <v>60</v>
      </c>
      <c r="J58" s="8" t="s">
        <v>61</v>
      </c>
    </row>
    <row r="59" customFormat="false" ht="15" hidden="false" customHeight="true" outlineLevel="0" collapsed="false">
      <c r="A59" s="8" t="s">
        <v>194</v>
      </c>
      <c r="B59" s="8" t="s">
        <v>195</v>
      </c>
      <c r="C59" s="8" t="s">
        <v>69</v>
      </c>
      <c r="D59" s="16" t="s">
        <v>90</v>
      </c>
      <c r="E59" s="8" t="s">
        <v>70</v>
      </c>
      <c r="F59" s="14" t="n">
        <v>246000</v>
      </c>
      <c r="G59" s="11" t="n">
        <v>604</v>
      </c>
      <c r="H59" s="17" t="s">
        <v>25</v>
      </c>
      <c r="I59" s="8" t="s">
        <v>60</v>
      </c>
      <c r="J59" s="8" t="s">
        <v>92</v>
      </c>
    </row>
    <row r="60" customFormat="false" ht="15" hidden="false" customHeight="true" outlineLevel="0" collapsed="false">
      <c r="A60" s="8" t="s">
        <v>196</v>
      </c>
      <c r="B60" s="8" t="s">
        <v>197</v>
      </c>
      <c r="C60" s="8" t="s">
        <v>74</v>
      </c>
      <c r="D60" s="8" t="s">
        <v>58</v>
      </c>
      <c r="E60" s="8" t="s">
        <v>75</v>
      </c>
      <c r="F60" s="14" t="n">
        <v>270000</v>
      </c>
      <c r="G60" s="11" t="n">
        <v>612</v>
      </c>
      <c r="H60" s="8" t="s">
        <v>19</v>
      </c>
      <c r="I60" s="8" t="s">
        <v>60</v>
      </c>
      <c r="J60" s="8" t="s">
        <v>61</v>
      </c>
    </row>
    <row r="61" customFormat="false" ht="15" hidden="false" customHeight="true" outlineLevel="0" collapsed="false">
      <c r="A61" s="8" t="s">
        <v>198</v>
      </c>
      <c r="B61" s="8" t="s">
        <v>199</v>
      </c>
      <c r="C61" s="8" t="s">
        <v>57</v>
      </c>
      <c r="D61" s="8" t="s">
        <v>65</v>
      </c>
      <c r="E61" s="15"/>
      <c r="F61" s="14" t="n">
        <v>294000</v>
      </c>
      <c r="G61" s="11" t="n">
        <v>620</v>
      </c>
      <c r="H61" s="8" t="s">
        <v>19</v>
      </c>
      <c r="I61" s="8" t="s">
        <v>60</v>
      </c>
      <c r="J61" s="8" t="s">
        <v>101</v>
      </c>
    </row>
    <row r="62" customFormat="false" ht="15" hidden="false" customHeight="true" outlineLevel="0" collapsed="false">
      <c r="A62" s="8" t="s">
        <v>200</v>
      </c>
      <c r="B62" s="8" t="s">
        <v>201</v>
      </c>
      <c r="C62" s="8" t="s">
        <v>64</v>
      </c>
      <c r="D62" s="15"/>
      <c r="E62" s="8" t="s">
        <v>81</v>
      </c>
      <c r="F62" s="14" t="n">
        <v>318000</v>
      </c>
      <c r="G62" s="18"/>
      <c r="H62" s="8" t="s">
        <v>19</v>
      </c>
      <c r="I62" s="8" t="s">
        <v>60</v>
      </c>
      <c r="J62" s="8" t="s">
        <v>140</v>
      </c>
    </row>
    <row r="63" customFormat="false" ht="15" hidden="false" customHeight="true" outlineLevel="0" collapsed="false">
      <c r="A63" s="8" t="s">
        <v>202</v>
      </c>
      <c r="B63" s="8" t="s">
        <v>203</v>
      </c>
      <c r="C63" s="8" t="s">
        <v>69</v>
      </c>
      <c r="D63" s="8" t="s">
        <v>58</v>
      </c>
      <c r="E63" s="8" t="s">
        <v>84</v>
      </c>
      <c r="F63" s="14" t="n">
        <v>342000</v>
      </c>
      <c r="G63" s="11" t="n">
        <v>636</v>
      </c>
      <c r="H63" s="8" t="s">
        <v>19</v>
      </c>
      <c r="I63" s="8" t="s">
        <v>60</v>
      </c>
      <c r="J63" s="8" t="s">
        <v>61</v>
      </c>
    </row>
    <row r="64" customFormat="false" ht="15" hidden="false" customHeight="true" outlineLevel="0" collapsed="false">
      <c r="A64" s="8" t="s">
        <v>204</v>
      </c>
      <c r="B64" s="8" t="s">
        <v>205</v>
      </c>
      <c r="C64" s="8" t="s">
        <v>74</v>
      </c>
      <c r="D64" s="8" t="s">
        <v>65</v>
      </c>
      <c r="E64" s="8" t="s">
        <v>87</v>
      </c>
      <c r="F64" s="14" t="n">
        <v>366000</v>
      </c>
      <c r="G64" s="11" t="n">
        <v>644</v>
      </c>
      <c r="H64" s="8" t="s">
        <v>19</v>
      </c>
      <c r="I64" s="8" t="s">
        <v>60</v>
      </c>
      <c r="J64" s="8" t="s">
        <v>61</v>
      </c>
    </row>
    <row r="65" customFormat="false" ht="15" hidden="false" customHeight="true" outlineLevel="0" collapsed="false">
      <c r="A65" s="8" t="s">
        <v>206</v>
      </c>
      <c r="B65" s="8" t="s">
        <v>207</v>
      </c>
      <c r="C65" s="8" t="s">
        <v>57</v>
      </c>
      <c r="D65" s="15"/>
      <c r="E65" s="8" t="s">
        <v>91</v>
      </c>
      <c r="F65" s="14" t="n">
        <v>390000</v>
      </c>
      <c r="G65" s="11" t="n">
        <v>652</v>
      </c>
      <c r="H65" s="8" t="s">
        <v>19</v>
      </c>
      <c r="I65" s="8" t="s">
        <v>60</v>
      </c>
      <c r="J65" s="8" t="s">
        <v>71</v>
      </c>
    </row>
    <row r="66" customFormat="false" ht="15" hidden="false" customHeight="true" outlineLevel="0" collapsed="false">
      <c r="A66" s="8" t="s">
        <v>208</v>
      </c>
      <c r="B66" s="8" t="s">
        <v>209</v>
      </c>
      <c r="C66" s="8" t="s">
        <v>74</v>
      </c>
      <c r="D66" s="8" t="s">
        <v>58</v>
      </c>
      <c r="E66" s="8" t="s">
        <v>95</v>
      </c>
      <c r="F66" s="14" t="n">
        <v>414000</v>
      </c>
      <c r="G66" s="11" t="n">
        <v>660</v>
      </c>
      <c r="H66" s="8" t="s">
        <v>19</v>
      </c>
      <c r="I66" s="8" t="s">
        <v>60</v>
      </c>
      <c r="J66" s="8" t="s">
        <v>61</v>
      </c>
    </row>
    <row r="67" customFormat="false" ht="15" hidden="false" customHeight="true" outlineLevel="0" collapsed="false">
      <c r="A67" s="8" t="s">
        <v>210</v>
      </c>
      <c r="B67" s="8" t="s">
        <v>211</v>
      </c>
      <c r="C67" s="8" t="s">
        <v>69</v>
      </c>
      <c r="D67" s="8" t="s">
        <v>65</v>
      </c>
      <c r="E67" s="8" t="s">
        <v>59</v>
      </c>
      <c r="F67" s="14" t="n">
        <v>438000</v>
      </c>
      <c r="G67" s="11" t="n">
        <v>668</v>
      </c>
      <c r="H67" s="8" t="s">
        <v>19</v>
      </c>
      <c r="I67" s="8" t="s">
        <v>60</v>
      </c>
      <c r="J67" s="8" t="s">
        <v>61</v>
      </c>
    </row>
    <row r="68" customFormat="false" ht="15" hidden="false" customHeight="true" outlineLevel="0" collapsed="false">
      <c r="A68" s="16" t="s">
        <v>212</v>
      </c>
      <c r="B68" s="16" t="s">
        <v>213</v>
      </c>
      <c r="C68" s="16" t="s">
        <v>74</v>
      </c>
      <c r="D68" s="16" t="s">
        <v>90</v>
      </c>
      <c r="E68" s="16" t="s">
        <v>66</v>
      </c>
      <c r="F68" s="19" t="n">
        <v>30000</v>
      </c>
      <c r="G68" s="20" t="n">
        <v>676</v>
      </c>
      <c r="H68" s="17" t="s">
        <v>25</v>
      </c>
      <c r="I68" s="16" t="s">
        <v>214</v>
      </c>
      <c r="J68" s="16" t="s">
        <v>215</v>
      </c>
    </row>
    <row r="69" customFormat="false" ht="15" hidden="false" customHeight="true" outlineLevel="0" collapsed="false">
      <c r="A69" s="8" t="s">
        <v>216</v>
      </c>
      <c r="B69" s="8" t="s">
        <v>217</v>
      </c>
      <c r="C69" s="8" t="s">
        <v>57</v>
      </c>
      <c r="D69" s="8" t="s">
        <v>58</v>
      </c>
      <c r="E69" s="8" t="s">
        <v>70</v>
      </c>
      <c r="F69" s="14" t="n">
        <v>54000</v>
      </c>
      <c r="G69" s="11" t="n">
        <v>684</v>
      </c>
      <c r="H69" s="8" t="s">
        <v>19</v>
      </c>
      <c r="I69" s="8" t="s">
        <v>60</v>
      </c>
      <c r="J69" s="8" t="s">
        <v>61</v>
      </c>
    </row>
    <row r="70" customFormat="false" ht="15" hidden="false" customHeight="true" outlineLevel="0" collapsed="false">
      <c r="A70" s="8" t="s">
        <v>218</v>
      </c>
      <c r="B70" s="8" t="s">
        <v>219</v>
      </c>
      <c r="C70" s="8" t="s">
        <v>64</v>
      </c>
      <c r="D70" s="8" t="s">
        <v>65</v>
      </c>
      <c r="E70" s="8" t="s">
        <v>75</v>
      </c>
      <c r="F70" s="14" t="n">
        <v>78000</v>
      </c>
      <c r="G70" s="11" t="n">
        <v>692</v>
      </c>
      <c r="H70" s="8" t="s">
        <v>19</v>
      </c>
      <c r="I70" s="8" t="s">
        <v>60</v>
      </c>
      <c r="J70" s="8" t="s">
        <v>61</v>
      </c>
    </row>
    <row r="71" customFormat="false" ht="15" hidden="false" customHeight="true" outlineLevel="0" collapsed="false">
      <c r="A71" s="8" t="s">
        <v>220</v>
      </c>
      <c r="B71" s="8" t="s">
        <v>221</v>
      </c>
      <c r="C71" s="8" t="s">
        <v>69</v>
      </c>
      <c r="D71" s="15"/>
      <c r="E71" s="8" t="s">
        <v>78</v>
      </c>
      <c r="F71" s="14" t="n">
        <v>102000</v>
      </c>
      <c r="G71" s="11" t="n">
        <v>700</v>
      </c>
      <c r="H71" s="8" t="s">
        <v>19</v>
      </c>
      <c r="I71" s="8" t="s">
        <v>60</v>
      </c>
      <c r="J71" s="8" t="s">
        <v>71</v>
      </c>
    </row>
    <row r="72" customFormat="false" ht="15" hidden="false" customHeight="true" outlineLevel="0" collapsed="false">
      <c r="A72" s="8" t="s">
        <v>222</v>
      </c>
      <c r="B72" s="8" t="s">
        <v>223</v>
      </c>
      <c r="C72" s="8" t="s">
        <v>74</v>
      </c>
      <c r="D72" s="8" t="s">
        <v>58</v>
      </c>
      <c r="E72" s="8" t="s">
        <v>81</v>
      </c>
      <c r="F72" s="14" t="n">
        <v>126000</v>
      </c>
      <c r="G72" s="11" t="n">
        <v>708</v>
      </c>
      <c r="H72" s="8" t="s">
        <v>19</v>
      </c>
      <c r="I72" s="8" t="s">
        <v>60</v>
      </c>
      <c r="J72" s="8" t="s">
        <v>61</v>
      </c>
    </row>
    <row r="73" customFormat="false" ht="15" hidden="false" customHeight="true" outlineLevel="0" collapsed="false">
      <c r="A73" s="8" t="s">
        <v>224</v>
      </c>
      <c r="B73" s="8" t="s">
        <v>225</v>
      </c>
      <c r="C73" s="8" t="s">
        <v>57</v>
      </c>
      <c r="D73" s="8" t="s">
        <v>65</v>
      </c>
      <c r="E73" s="8" t="s">
        <v>84</v>
      </c>
      <c r="F73" s="14" t="n">
        <v>150000</v>
      </c>
      <c r="G73" s="18"/>
      <c r="H73" s="8" t="s">
        <v>19</v>
      </c>
      <c r="I73" s="8" t="s">
        <v>60</v>
      </c>
      <c r="J73" s="8" t="s">
        <v>98</v>
      </c>
    </row>
    <row r="74" customFormat="false" ht="15" hidden="false" customHeight="true" outlineLevel="0" collapsed="false">
      <c r="A74" s="8" t="s">
        <v>226</v>
      </c>
      <c r="B74" s="8" t="s">
        <v>227</v>
      </c>
      <c r="C74" s="8" t="s">
        <v>64</v>
      </c>
      <c r="D74" s="15"/>
      <c r="E74" s="15"/>
      <c r="F74" s="14" t="n">
        <v>174000</v>
      </c>
      <c r="G74" s="11" t="n">
        <v>724</v>
      </c>
      <c r="H74" s="8" t="s">
        <v>19</v>
      </c>
      <c r="I74" s="8" t="s">
        <v>60</v>
      </c>
      <c r="J74" s="8" t="s">
        <v>151</v>
      </c>
    </row>
    <row r="75" customFormat="false" ht="15" hidden="false" customHeight="true" outlineLevel="0" collapsed="false">
      <c r="A75" s="8" t="s">
        <v>228</v>
      </c>
      <c r="B75" s="8" t="s">
        <v>229</v>
      </c>
      <c r="C75" s="8" t="s">
        <v>69</v>
      </c>
      <c r="D75" s="8" t="s">
        <v>58</v>
      </c>
      <c r="E75" s="8" t="s">
        <v>91</v>
      </c>
      <c r="F75" s="14" t="n">
        <v>198000</v>
      </c>
      <c r="G75" s="11" t="n">
        <v>732</v>
      </c>
      <c r="H75" s="8" t="s">
        <v>19</v>
      </c>
      <c r="I75" s="8" t="s">
        <v>60</v>
      </c>
      <c r="J75" s="8" t="s">
        <v>61</v>
      </c>
    </row>
    <row r="76" customFormat="false" ht="15" hidden="false" customHeight="true" outlineLevel="0" collapsed="false">
      <c r="A76" s="8" t="s">
        <v>230</v>
      </c>
      <c r="B76" s="8" t="s">
        <v>231</v>
      </c>
      <c r="C76" s="8" t="s">
        <v>74</v>
      </c>
      <c r="D76" s="8" t="s">
        <v>65</v>
      </c>
      <c r="E76" s="8" t="s">
        <v>95</v>
      </c>
      <c r="F76" s="14" t="n">
        <v>222000</v>
      </c>
      <c r="G76" s="11" t="n">
        <v>740</v>
      </c>
      <c r="H76" s="8" t="s">
        <v>19</v>
      </c>
      <c r="I76" s="8" t="s">
        <v>60</v>
      </c>
      <c r="J76" s="8" t="s">
        <v>61</v>
      </c>
    </row>
  </sheetData>
  <autoFilter ref="A1:J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8" min="7" style="1" width="11"/>
    <col collapsed="false" customWidth="true" hidden="false" outlineLevel="0" max="9" min="9" style="1" width="12"/>
    <col collapsed="false" customWidth="true" hidden="false" outlineLevel="0" max="10" min="10" style="1" width="40"/>
  </cols>
  <sheetData>
    <row r="1" customFormat="false" ht="17.25" hidden="false" customHeight="true" outlineLevel="0" collapsed="false">
      <c r="A1" s="2" t="s">
        <v>232</v>
      </c>
    </row>
    <row r="2" customFormat="false" ht="21.75" hidden="false" customHeight="true" outlineLevel="0" collapsed="false">
      <c r="A2" s="21" t="s">
        <v>233</v>
      </c>
      <c r="B2" s="21"/>
      <c r="C2" s="21"/>
      <c r="D2" s="21"/>
      <c r="E2" s="21"/>
      <c r="F2" s="21"/>
      <c r="G2" s="21"/>
      <c r="H2" s="21"/>
      <c r="I2" s="21"/>
      <c r="J2" s="21"/>
    </row>
    <row r="4" customFormat="false" ht="23.25" hidden="false" customHeight="true" outlineLevel="0" collapsed="false">
      <c r="A4" s="7" t="s">
        <v>234</v>
      </c>
      <c r="B4" s="7" t="s">
        <v>235</v>
      </c>
      <c r="C4" s="7" t="s">
        <v>47</v>
      </c>
      <c r="D4" s="7" t="s">
        <v>236</v>
      </c>
      <c r="E4" s="7" t="s">
        <v>49</v>
      </c>
      <c r="F4" s="7" t="s">
        <v>50</v>
      </c>
      <c r="G4" s="7" t="s">
        <v>51</v>
      </c>
      <c r="H4" s="7" t="s">
        <v>52</v>
      </c>
      <c r="I4" s="7" t="s">
        <v>237</v>
      </c>
      <c r="J4" s="7" t="s">
        <v>238</v>
      </c>
    </row>
    <row r="5" customFormat="false" ht="15" hidden="false" customHeight="true" outlineLevel="0" collapsed="false">
      <c r="A5" s="8" t="s">
        <v>239</v>
      </c>
      <c r="B5" s="8" t="s">
        <v>240</v>
      </c>
      <c r="C5" s="8" t="s">
        <v>241</v>
      </c>
      <c r="D5" s="8" t="s">
        <v>74</v>
      </c>
      <c r="E5" s="8"/>
      <c r="F5" s="8" t="s">
        <v>66</v>
      </c>
      <c r="G5" s="14" t="n">
        <v>318000</v>
      </c>
      <c r="H5" s="8" t="n">
        <v>196</v>
      </c>
      <c r="I5" s="8" t="s">
        <v>25</v>
      </c>
      <c r="J5" s="8" t="s">
        <v>242</v>
      </c>
    </row>
    <row r="6" customFormat="false" ht="15" hidden="false" customHeight="true" outlineLevel="0" collapsed="false">
      <c r="A6" s="8" t="s">
        <v>239</v>
      </c>
      <c r="B6" s="8" t="s">
        <v>243</v>
      </c>
      <c r="C6" s="8" t="s">
        <v>241</v>
      </c>
      <c r="D6" s="8" t="s">
        <v>74</v>
      </c>
      <c r="E6" s="8"/>
      <c r="F6" s="8" t="s">
        <v>75</v>
      </c>
      <c r="G6" s="14" t="n">
        <v>174000</v>
      </c>
      <c r="H6" s="8" t="n">
        <v>292</v>
      </c>
      <c r="I6" s="8" t="s">
        <v>25</v>
      </c>
      <c r="J6" s="8" t="s">
        <v>242</v>
      </c>
    </row>
    <row r="7" customFormat="false" ht="15" hidden="false" customHeight="true" outlineLevel="0" collapsed="false">
      <c r="A7" s="8" t="s">
        <v>239</v>
      </c>
      <c r="B7" s="8" t="s">
        <v>244</v>
      </c>
      <c r="C7" s="8" t="s">
        <v>241</v>
      </c>
      <c r="D7" s="8" t="s">
        <v>74</v>
      </c>
      <c r="E7" s="8" t="s">
        <v>90</v>
      </c>
      <c r="F7" s="8" t="s">
        <v>81</v>
      </c>
      <c r="G7" s="14" t="n">
        <v>30000</v>
      </c>
      <c r="H7" s="8" t="n">
        <v>388</v>
      </c>
      <c r="I7" s="8" t="s">
        <v>25</v>
      </c>
      <c r="J7" s="8" t="s">
        <v>242</v>
      </c>
    </row>
    <row r="8" customFormat="false" ht="15" hidden="false" customHeight="true" outlineLevel="0" collapsed="false">
      <c r="A8" s="8" t="s">
        <v>239</v>
      </c>
      <c r="B8" s="8" t="s">
        <v>245</v>
      </c>
      <c r="C8" s="8" t="s">
        <v>241</v>
      </c>
      <c r="D8" s="8" t="s">
        <v>74</v>
      </c>
      <c r="E8" s="8"/>
      <c r="F8" s="8" t="s">
        <v>87</v>
      </c>
      <c r="G8" s="14" t="n">
        <v>318000</v>
      </c>
      <c r="H8" s="8" t="n">
        <v>484</v>
      </c>
      <c r="I8" s="8" t="s">
        <v>25</v>
      </c>
      <c r="J8" s="8" t="s">
        <v>242</v>
      </c>
    </row>
    <row r="9" customFormat="false" ht="15" hidden="false" customHeight="true" outlineLevel="0" collapsed="false">
      <c r="A9" s="8" t="s">
        <v>239</v>
      </c>
      <c r="B9" s="8" t="s">
        <v>246</v>
      </c>
      <c r="C9" s="8" t="s">
        <v>241</v>
      </c>
      <c r="D9" s="8" t="s">
        <v>247</v>
      </c>
      <c r="E9" s="8"/>
      <c r="F9" s="8" t="s">
        <v>95</v>
      </c>
      <c r="G9" s="14" t="n">
        <v>174000</v>
      </c>
      <c r="H9" s="8" t="n">
        <v>580</v>
      </c>
      <c r="I9" s="8" t="s">
        <v>25</v>
      </c>
      <c r="J9" s="8" t="s">
        <v>242</v>
      </c>
    </row>
    <row r="10" customFormat="false" ht="15" hidden="false" customHeight="true" outlineLevel="0" collapsed="false">
      <c r="A10" s="16" t="s">
        <v>239</v>
      </c>
      <c r="B10" s="16" t="s">
        <v>212</v>
      </c>
      <c r="C10" s="16" t="s">
        <v>241</v>
      </c>
      <c r="D10" s="16" t="s">
        <v>74</v>
      </c>
      <c r="E10" s="16" t="s">
        <v>90</v>
      </c>
      <c r="F10" s="16" t="s">
        <v>66</v>
      </c>
      <c r="G10" s="19" t="n">
        <v>30000</v>
      </c>
      <c r="H10" s="16" t="n">
        <v>676</v>
      </c>
      <c r="I10" s="16" t="s">
        <v>25</v>
      </c>
      <c r="J10" s="16" t="s">
        <v>248</v>
      </c>
    </row>
    <row r="12" customFormat="false" ht="15" hidden="false" customHeight="true" outlineLevel="0" collapsed="false">
      <c r="A12" s="4" t="s">
        <v>249</v>
      </c>
    </row>
    <row r="13" customFormat="false" ht="15" hidden="false" customHeight="true" outlineLevel="0" collapsed="false">
      <c r="A13" s="4" t="s">
        <v>250</v>
      </c>
      <c r="B13" s="22" t="s">
        <v>251</v>
      </c>
      <c r="C13" s="22"/>
      <c r="D13" s="22"/>
      <c r="E13" s="22"/>
      <c r="F13" s="22"/>
      <c r="G13" s="22"/>
      <c r="H13" s="22"/>
      <c r="I13" s="22"/>
      <c r="J13" s="22"/>
    </row>
    <row r="14" customFormat="false" ht="15" hidden="false" customHeight="true" outlineLevel="0" collapsed="false">
      <c r="A14" s="4" t="s">
        <v>50</v>
      </c>
      <c r="B14" s="22" t="s">
        <v>252</v>
      </c>
      <c r="C14" s="22"/>
      <c r="D14" s="22"/>
      <c r="E14" s="22"/>
      <c r="F14" s="22"/>
      <c r="G14" s="22"/>
      <c r="H14" s="22"/>
      <c r="I14" s="22"/>
      <c r="J14" s="22"/>
    </row>
    <row r="15" customFormat="false" ht="15" hidden="false" customHeight="true" outlineLevel="0" collapsed="false">
      <c r="A15" s="4" t="s">
        <v>49</v>
      </c>
      <c r="B15" s="22" t="s">
        <v>253</v>
      </c>
      <c r="C15" s="22"/>
      <c r="D15" s="22"/>
      <c r="E15" s="22"/>
      <c r="F15" s="22"/>
      <c r="G15" s="22"/>
      <c r="H15" s="22"/>
      <c r="I15" s="22"/>
      <c r="J15" s="22"/>
    </row>
    <row r="16" customFormat="false" ht="15" hidden="false" customHeight="true" outlineLevel="0" collapsed="false">
      <c r="A16" s="4" t="s">
        <v>52</v>
      </c>
      <c r="B16" s="22" t="s">
        <v>254</v>
      </c>
      <c r="C16" s="22"/>
      <c r="D16" s="22"/>
      <c r="E16" s="22"/>
      <c r="F16" s="22"/>
      <c r="G16" s="22"/>
      <c r="H16" s="22"/>
      <c r="I16" s="22"/>
      <c r="J16" s="22"/>
    </row>
    <row r="17" customFormat="false" ht="15" hidden="false" customHeight="true" outlineLevel="0" collapsed="false">
      <c r="A17" s="4" t="s">
        <v>255</v>
      </c>
      <c r="B17" s="22" t="s">
        <v>256</v>
      </c>
      <c r="C17" s="22"/>
      <c r="D17" s="22"/>
      <c r="E17" s="22"/>
      <c r="F17" s="22"/>
      <c r="G17" s="22"/>
      <c r="H17" s="22"/>
      <c r="I17" s="22"/>
      <c r="J17" s="22"/>
    </row>
  </sheetData>
  <mergeCells count="6">
    <mergeCell ref="A2:J2"/>
    <mergeCell ref="B13:J13"/>
    <mergeCell ref="B14:J14"/>
    <mergeCell ref="B15:J15"/>
    <mergeCell ref="B16:J16"/>
    <mergeCell ref="B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55"/>
  </cols>
  <sheetData>
    <row r="1" customFormat="false" ht="17.25" hidden="false" customHeight="true" outlineLevel="0" collapsed="false">
      <c r="A1" s="2" t="s">
        <v>257</v>
      </c>
    </row>
    <row r="3" customFormat="false" ht="23.25" hidden="false" customHeight="true" outlineLevel="0" collapsed="false">
      <c r="A3" s="7" t="s">
        <v>258</v>
      </c>
      <c r="B3" s="7" t="s">
        <v>259</v>
      </c>
      <c r="C3" s="7" t="s">
        <v>260</v>
      </c>
      <c r="D3" s="7" t="s">
        <v>261</v>
      </c>
      <c r="E3" s="7" t="s">
        <v>16</v>
      </c>
      <c r="F3" s="7" t="s">
        <v>262</v>
      </c>
    </row>
    <row r="4" customFormat="false" ht="15" hidden="false" customHeight="true" outlineLevel="0" collapsed="false">
      <c r="A4" s="8" t="s">
        <v>48</v>
      </c>
      <c r="B4" s="8" t="s">
        <v>247</v>
      </c>
      <c r="C4" s="8" t="s">
        <v>74</v>
      </c>
      <c r="D4" s="11" t="n">
        <f aca="false">COUNTIF('Raw Export'!D2:D81,"Hlthcare")</f>
        <v>8</v>
      </c>
      <c r="E4" s="8" t="s">
        <v>19</v>
      </c>
      <c r="F4" s="23" t="s">
        <v>263</v>
      </c>
    </row>
    <row r="5" customFormat="false" ht="23.25" hidden="false" customHeight="true" outlineLevel="0" collapsed="false">
      <c r="A5" s="8" t="s">
        <v>47</v>
      </c>
      <c r="B5" s="8" t="s">
        <v>241</v>
      </c>
      <c r="C5" s="8" t="s">
        <v>213</v>
      </c>
      <c r="D5" s="11" t="n">
        <f aca="false">COUNTIF('Raw Export'!B2:B81,"Atlas Health, Inc.")</f>
        <v>6</v>
      </c>
      <c r="E5" s="8" t="s">
        <v>25</v>
      </c>
      <c r="F5" s="23" t="s">
        <v>264</v>
      </c>
    </row>
    <row r="6" customFormat="false" ht="23.25" hidden="false" customHeight="true" outlineLevel="0" collapsed="false">
      <c r="A6" s="8" t="s">
        <v>49</v>
      </c>
      <c r="B6" s="8" t="s">
        <v>90</v>
      </c>
      <c r="C6" s="8" t="s">
        <v>265</v>
      </c>
      <c r="D6" s="11" t="n">
        <f aca="false">COUNTIF('Raw Export'!E2:E81,"US-East")</f>
        <v>8</v>
      </c>
      <c r="E6" s="8" t="s">
        <v>25</v>
      </c>
      <c r="F6" s="23" t="s">
        <v>266</v>
      </c>
    </row>
    <row r="7" customFormat="false" ht="15" hidden="false" customHeight="true" outlineLevel="0" collapsed="false">
      <c r="A7" s="8" t="s">
        <v>49</v>
      </c>
      <c r="B7" s="8" t="s">
        <v>267</v>
      </c>
      <c r="C7" s="8" t="s">
        <v>268</v>
      </c>
      <c r="D7" s="11" t="n">
        <f aca="false">COUNTBLANK('Raw Export'!E2:E81)</f>
        <v>18</v>
      </c>
      <c r="E7" s="8" t="s">
        <v>21</v>
      </c>
      <c r="F7" s="23" t="s">
        <v>269</v>
      </c>
    </row>
    <row r="9" customFormat="false" ht="15" hidden="false" customHeight="true" outlineLevel="0" collapsed="false">
      <c r="A9" s="4" t="s">
        <v>270</v>
      </c>
    </row>
    <row r="10" customFormat="false" ht="15" hidden="false" customHeight="true" outlineLevel="0" collapsed="false">
      <c r="A10" s="7" t="s">
        <v>48</v>
      </c>
      <c r="B10" s="7" t="s">
        <v>271</v>
      </c>
    </row>
    <row r="11" customFormat="false" ht="15" hidden="false" customHeight="true" outlineLevel="0" collapsed="false">
      <c r="A11" s="8" t="s">
        <v>74</v>
      </c>
      <c r="B11" s="8" t="n">
        <f aca="false">COUNTIF('Cleaned Accounts'!C2:C76,"Healthcare")</f>
        <v>19</v>
      </c>
    </row>
    <row r="12" customFormat="false" ht="15" hidden="false" customHeight="true" outlineLevel="0" collapsed="false">
      <c r="A12" s="8" t="s">
        <v>57</v>
      </c>
      <c r="B12" s="8" t="n">
        <f aca="false">COUNTIF('Cleaned Accounts'!C2:C76,"Retail")</f>
        <v>20</v>
      </c>
    </row>
    <row r="13" customFormat="false" ht="15" hidden="false" customHeight="true" outlineLevel="0" collapsed="false">
      <c r="A13" s="8" t="s">
        <v>69</v>
      </c>
      <c r="B13" s="8" t="n">
        <f aca="false">COUNTIF('Cleaned Accounts'!C2:C76,"Public Sector")</f>
        <v>20</v>
      </c>
    </row>
    <row r="14" customFormat="false" ht="15" hidden="false" customHeight="true" outlineLevel="0" collapsed="false">
      <c r="A14" s="8" t="s">
        <v>64</v>
      </c>
      <c r="B14" s="8" t="n">
        <f aca="false">COUNTIF('Cleaned Accounts'!C2:C76,"Finance")</f>
        <v>16</v>
      </c>
    </row>
    <row r="15" customFormat="false" ht="15" hidden="false" customHeight="true" outlineLevel="0" collapsed="false">
      <c r="A15" s="12" t="s">
        <v>272</v>
      </c>
      <c r="B15" s="12" t="n">
        <f aca="false">SUM(B11:B14)</f>
        <v>75</v>
      </c>
    </row>
    <row r="17" customFormat="false" ht="15" hidden="false" customHeight="true" outlineLevel="0" collapsed="false">
      <c r="A17" s="4" t="s">
        <v>273</v>
      </c>
    </row>
    <row r="18" customFormat="false" ht="15" hidden="false" customHeight="true" outlineLevel="0" collapsed="false">
      <c r="A18" s="7" t="s">
        <v>49</v>
      </c>
      <c r="B18" s="7" t="s">
        <v>271</v>
      </c>
    </row>
    <row r="19" customFormat="false" ht="15" hidden="false" customHeight="true" outlineLevel="0" collapsed="false">
      <c r="A19" s="8" t="s">
        <v>58</v>
      </c>
      <c r="B19" s="8" t="n">
        <f aca="false">COUNTIF('Cleaned Accounts'!D2:D76,"EMEA")</f>
        <v>27</v>
      </c>
    </row>
    <row r="20" customFormat="false" ht="15" hidden="false" customHeight="true" outlineLevel="0" collapsed="false">
      <c r="A20" s="8" t="s">
        <v>65</v>
      </c>
      <c r="B20" s="8" t="n">
        <f aca="false">COUNTIF('Cleaned Accounts'!D2:D76,"APAC")</f>
        <v>27</v>
      </c>
    </row>
    <row r="21" customFormat="false" ht="15" hidden="false" customHeight="true" outlineLevel="0" collapsed="false">
      <c r="A21" s="8" t="s">
        <v>274</v>
      </c>
      <c r="B21" s="8" t="n">
        <f aca="false">COUNTIF('Cleaned Accounts'!D2:D76,"US-East")</f>
        <v>7</v>
      </c>
    </row>
    <row r="22" customFormat="false" ht="15" hidden="false" customHeight="true" outlineLevel="0" collapsed="false">
      <c r="A22" s="8" t="s">
        <v>267</v>
      </c>
      <c r="B22" s="8" t="n">
        <f aca="false">COUNTBLANK('Cleaned Accounts'!D2:D76)</f>
        <v>14</v>
      </c>
    </row>
    <row r="23" customFormat="false" ht="15" hidden="false" customHeight="true" outlineLevel="0" collapsed="false">
      <c r="A23" s="12" t="s">
        <v>272</v>
      </c>
      <c r="B23" s="12" t="n">
        <f aca="false">SUM(B19:B22)</f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3" min="2" style="1" width="20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8" min="7" style="1" width="11"/>
    <col collapsed="false" customWidth="true" hidden="false" outlineLevel="0" max="9" min="9" style="1" width="13"/>
    <col collapsed="false" customWidth="true" hidden="false" outlineLevel="0" max="10" min="10" style="1" width="18"/>
  </cols>
  <sheetData>
    <row r="1" customFormat="false" ht="34.5" hidden="false" customHeight="true" outlineLevel="0" collapsed="false">
      <c r="A1" s="7" t="s">
        <v>235</v>
      </c>
      <c r="B1" s="7" t="s">
        <v>47</v>
      </c>
      <c r="C1" s="7" t="s">
        <v>275</v>
      </c>
      <c r="D1" s="7" t="s">
        <v>48</v>
      </c>
      <c r="E1" s="7" t="s">
        <v>49</v>
      </c>
      <c r="F1" s="7" t="s">
        <v>50</v>
      </c>
      <c r="G1" s="7" t="s">
        <v>250</v>
      </c>
      <c r="H1" s="7" t="s">
        <v>52</v>
      </c>
      <c r="I1" s="7" t="s">
        <v>237</v>
      </c>
      <c r="J1" s="7" t="s">
        <v>276</v>
      </c>
    </row>
    <row r="2" customFormat="false" ht="15" hidden="false" customHeight="true" outlineLevel="0" collapsed="false">
      <c r="A2" s="8" t="s">
        <v>55</v>
      </c>
      <c r="B2" s="8" t="s">
        <v>56</v>
      </c>
      <c r="C2" s="8" t="s">
        <v>56</v>
      </c>
      <c r="D2" s="8" t="s">
        <v>57</v>
      </c>
      <c r="E2" s="8" t="s">
        <v>58</v>
      </c>
      <c r="F2" s="8" t="s">
        <v>59</v>
      </c>
      <c r="G2" s="14" t="n">
        <v>54000</v>
      </c>
      <c r="H2" s="8" t="n">
        <v>108</v>
      </c>
      <c r="I2" s="8" t="s">
        <v>19</v>
      </c>
      <c r="J2" s="8" t="s">
        <v>61</v>
      </c>
    </row>
    <row r="3" customFormat="false" ht="15" hidden="false" customHeight="true" outlineLevel="0" collapsed="false">
      <c r="A3" s="8" t="s">
        <v>62</v>
      </c>
      <c r="B3" s="8" t="s">
        <v>63</v>
      </c>
      <c r="C3" s="8" t="s">
        <v>63</v>
      </c>
      <c r="D3" s="8" t="s">
        <v>64</v>
      </c>
      <c r="E3" s="8" t="s">
        <v>65</v>
      </c>
      <c r="F3" s="8" t="s">
        <v>66</v>
      </c>
      <c r="G3" s="14" t="n">
        <v>78000</v>
      </c>
      <c r="H3" s="8" t="n">
        <v>116</v>
      </c>
      <c r="I3" s="8" t="s">
        <v>19</v>
      </c>
      <c r="J3" s="8" t="s">
        <v>61</v>
      </c>
    </row>
    <row r="4" customFormat="false" ht="15" hidden="false" customHeight="true" outlineLevel="0" collapsed="false">
      <c r="A4" s="8" t="s">
        <v>67</v>
      </c>
      <c r="B4" s="8" t="s">
        <v>68</v>
      </c>
      <c r="C4" s="8" t="s">
        <v>68</v>
      </c>
      <c r="D4" s="8" t="s">
        <v>69</v>
      </c>
      <c r="E4" s="8"/>
      <c r="F4" s="8" t="s">
        <v>70</v>
      </c>
      <c r="G4" s="14" t="n">
        <v>102000</v>
      </c>
      <c r="H4" s="8" t="n">
        <v>124</v>
      </c>
      <c r="I4" s="8" t="s">
        <v>19</v>
      </c>
      <c r="J4" s="8" t="s">
        <v>61</v>
      </c>
    </row>
    <row r="5" customFormat="false" ht="15" hidden="false" customHeight="true" outlineLevel="0" collapsed="false">
      <c r="A5" s="8" t="s">
        <v>72</v>
      </c>
      <c r="B5" s="8" t="s">
        <v>73</v>
      </c>
      <c r="C5" s="8" t="s">
        <v>73</v>
      </c>
      <c r="D5" s="8" t="s">
        <v>74</v>
      </c>
      <c r="E5" s="8" t="s">
        <v>58</v>
      </c>
      <c r="F5" s="8" t="s">
        <v>75</v>
      </c>
      <c r="G5" s="14" t="n">
        <v>126000</v>
      </c>
      <c r="H5" s="8" t="n">
        <v>132</v>
      </c>
      <c r="I5" s="8" t="s">
        <v>19</v>
      </c>
      <c r="J5" s="8" t="s">
        <v>61</v>
      </c>
    </row>
    <row r="6" customFormat="false" ht="15" hidden="false" customHeight="true" outlineLevel="0" collapsed="false">
      <c r="A6" s="8" t="s">
        <v>76</v>
      </c>
      <c r="B6" s="8" t="s">
        <v>77</v>
      </c>
      <c r="C6" s="8" t="s">
        <v>77</v>
      </c>
      <c r="D6" s="8" t="s">
        <v>57</v>
      </c>
      <c r="E6" s="8" t="s">
        <v>65</v>
      </c>
      <c r="F6" s="8" t="s">
        <v>78</v>
      </c>
      <c r="G6" s="14" t="n">
        <v>150000</v>
      </c>
      <c r="H6" s="8" t="n">
        <v>140</v>
      </c>
      <c r="I6" s="8" t="s">
        <v>19</v>
      </c>
      <c r="J6" s="8" t="s">
        <v>61</v>
      </c>
    </row>
    <row r="7" customFormat="false" ht="15" hidden="false" customHeight="true" outlineLevel="0" collapsed="false">
      <c r="A7" s="8" t="s">
        <v>79</v>
      </c>
      <c r="B7" s="8" t="s">
        <v>80</v>
      </c>
      <c r="C7" s="8" t="s">
        <v>80</v>
      </c>
      <c r="D7" s="8" t="s">
        <v>64</v>
      </c>
      <c r="E7" s="8"/>
      <c r="F7" s="8" t="s">
        <v>81</v>
      </c>
      <c r="G7" s="14" t="n">
        <v>174000</v>
      </c>
      <c r="H7" s="8" t="n">
        <v>148</v>
      </c>
      <c r="I7" s="8" t="s">
        <v>19</v>
      </c>
      <c r="J7" s="8" t="s">
        <v>61</v>
      </c>
    </row>
    <row r="8" customFormat="false" ht="15" hidden="false" customHeight="true" outlineLevel="0" collapsed="false">
      <c r="A8" s="8" t="s">
        <v>82</v>
      </c>
      <c r="B8" s="8" t="s">
        <v>83</v>
      </c>
      <c r="C8" s="8" t="s">
        <v>83</v>
      </c>
      <c r="D8" s="8" t="s">
        <v>69</v>
      </c>
      <c r="E8" s="8" t="s">
        <v>58</v>
      </c>
      <c r="F8" s="8" t="s">
        <v>84</v>
      </c>
      <c r="G8" s="14" t="n">
        <v>198000</v>
      </c>
      <c r="H8" s="8" t="n">
        <v>156</v>
      </c>
      <c r="I8" s="8" t="s">
        <v>19</v>
      </c>
      <c r="J8" s="8" t="s">
        <v>61</v>
      </c>
    </row>
    <row r="9" customFormat="false" ht="15" hidden="false" customHeight="true" outlineLevel="0" collapsed="false">
      <c r="A9" s="8" t="s">
        <v>85</v>
      </c>
      <c r="B9" s="8" t="s">
        <v>86</v>
      </c>
      <c r="C9" s="8" t="s">
        <v>86</v>
      </c>
      <c r="D9" s="8" t="s">
        <v>74</v>
      </c>
      <c r="E9" s="8" t="s">
        <v>65</v>
      </c>
      <c r="F9" s="8" t="s">
        <v>87</v>
      </c>
      <c r="G9" s="14" t="n">
        <v>222000</v>
      </c>
      <c r="H9" s="8" t="n">
        <v>164</v>
      </c>
      <c r="I9" s="8" t="s">
        <v>19</v>
      </c>
      <c r="J9" s="8" t="s">
        <v>61</v>
      </c>
    </row>
    <row r="10" customFormat="false" ht="15" hidden="false" customHeight="true" outlineLevel="0" collapsed="false">
      <c r="A10" s="8" t="s">
        <v>88</v>
      </c>
      <c r="B10" s="8" t="s">
        <v>89</v>
      </c>
      <c r="C10" s="8" t="s">
        <v>89</v>
      </c>
      <c r="D10" s="8" t="s">
        <v>57</v>
      </c>
      <c r="E10" s="8" t="s">
        <v>90</v>
      </c>
      <c r="F10" s="8" t="s">
        <v>91</v>
      </c>
      <c r="G10" s="14" t="n">
        <v>246000</v>
      </c>
      <c r="H10" s="8" t="n">
        <v>172</v>
      </c>
      <c r="I10" s="8" t="s">
        <v>19</v>
      </c>
      <c r="J10" s="8" t="s">
        <v>61</v>
      </c>
    </row>
    <row r="11" customFormat="false" ht="15" hidden="false" customHeight="true" outlineLevel="0" collapsed="false">
      <c r="A11" s="8" t="s">
        <v>93</v>
      </c>
      <c r="B11" s="8" t="s">
        <v>94</v>
      </c>
      <c r="C11" s="8" t="s">
        <v>94</v>
      </c>
      <c r="D11" s="8" t="s">
        <v>247</v>
      </c>
      <c r="E11" s="8" t="s">
        <v>58</v>
      </c>
      <c r="F11" s="8" t="s">
        <v>95</v>
      </c>
      <c r="G11" s="14" t="n">
        <v>270000</v>
      </c>
      <c r="H11" s="8" t="n">
        <v>180</v>
      </c>
      <c r="I11" s="8" t="s">
        <v>19</v>
      </c>
      <c r="J11" s="8" t="s">
        <v>277</v>
      </c>
    </row>
    <row r="12" customFormat="false" ht="15" hidden="false" customHeight="true" outlineLevel="0" collapsed="false">
      <c r="A12" s="8" t="s">
        <v>96</v>
      </c>
      <c r="B12" s="8" t="s">
        <v>97</v>
      </c>
      <c r="C12" s="8" t="s">
        <v>97</v>
      </c>
      <c r="D12" s="8" t="s">
        <v>69</v>
      </c>
      <c r="E12" s="8" t="s">
        <v>65</v>
      </c>
      <c r="F12" s="8" t="s">
        <v>59</v>
      </c>
      <c r="G12" s="14" t="n">
        <v>294000</v>
      </c>
      <c r="H12" s="8"/>
      <c r="I12" s="8" t="s">
        <v>19</v>
      </c>
      <c r="J12" s="8" t="s">
        <v>61</v>
      </c>
    </row>
    <row r="13" customFormat="false" ht="15" hidden="false" customHeight="true" outlineLevel="0" collapsed="false">
      <c r="A13" s="8" t="s">
        <v>240</v>
      </c>
      <c r="B13" s="8" t="s">
        <v>241</v>
      </c>
      <c r="C13" s="8" t="s">
        <v>213</v>
      </c>
      <c r="D13" s="8" t="s">
        <v>74</v>
      </c>
      <c r="E13" s="8"/>
      <c r="F13" s="8" t="s">
        <v>66</v>
      </c>
      <c r="G13" s="14" t="n">
        <v>318000</v>
      </c>
      <c r="H13" s="8" t="n">
        <v>196</v>
      </c>
      <c r="I13" s="8" t="s">
        <v>25</v>
      </c>
      <c r="J13" s="8" t="s">
        <v>278</v>
      </c>
    </row>
    <row r="14" customFormat="false" ht="15" hidden="false" customHeight="true" outlineLevel="0" collapsed="false">
      <c r="A14" s="8" t="s">
        <v>99</v>
      </c>
      <c r="B14" s="8" t="s">
        <v>100</v>
      </c>
      <c r="C14" s="8" t="s">
        <v>100</v>
      </c>
      <c r="D14" s="8" t="s">
        <v>57</v>
      </c>
      <c r="E14" s="8" t="s">
        <v>58</v>
      </c>
      <c r="F14" s="8"/>
      <c r="G14" s="14" t="n">
        <v>342000</v>
      </c>
      <c r="H14" s="8" t="n">
        <v>204</v>
      </c>
      <c r="I14" s="8" t="s">
        <v>19</v>
      </c>
      <c r="J14" s="8" t="s">
        <v>101</v>
      </c>
    </row>
    <row r="15" customFormat="false" ht="15" hidden="false" customHeight="true" outlineLevel="0" collapsed="false">
      <c r="A15" s="8" t="s">
        <v>102</v>
      </c>
      <c r="B15" s="8" t="s">
        <v>103</v>
      </c>
      <c r="C15" s="8" t="s">
        <v>103</v>
      </c>
      <c r="D15" s="8" t="s">
        <v>64</v>
      </c>
      <c r="E15" s="8" t="s">
        <v>65</v>
      </c>
      <c r="F15" s="8" t="s">
        <v>75</v>
      </c>
      <c r="G15" s="14" t="n">
        <v>366000</v>
      </c>
      <c r="H15" s="8" t="n">
        <v>212</v>
      </c>
      <c r="I15" s="8" t="s">
        <v>19</v>
      </c>
      <c r="J15" s="8" t="s">
        <v>61</v>
      </c>
    </row>
    <row r="16" customFormat="false" ht="15" hidden="false" customHeight="true" outlineLevel="0" collapsed="false">
      <c r="A16" s="8" t="s">
        <v>104</v>
      </c>
      <c r="B16" s="8" t="s">
        <v>105</v>
      </c>
      <c r="C16" s="8" t="s">
        <v>105</v>
      </c>
      <c r="D16" s="8" t="s">
        <v>69</v>
      </c>
      <c r="E16" s="8"/>
      <c r="F16" s="8" t="s">
        <v>78</v>
      </c>
      <c r="G16" s="14" t="n">
        <v>390000</v>
      </c>
      <c r="H16" s="8" t="n">
        <v>220</v>
      </c>
      <c r="I16" s="8" t="s">
        <v>19</v>
      </c>
      <c r="J16" s="8" t="s">
        <v>61</v>
      </c>
    </row>
    <row r="17" customFormat="false" ht="15" hidden="false" customHeight="true" outlineLevel="0" collapsed="false">
      <c r="A17" s="8" t="s">
        <v>106</v>
      </c>
      <c r="B17" s="8" t="s">
        <v>107</v>
      </c>
      <c r="C17" s="8" t="s">
        <v>107</v>
      </c>
      <c r="D17" s="8" t="s">
        <v>74</v>
      </c>
      <c r="E17" s="8" t="s">
        <v>58</v>
      </c>
      <c r="F17" s="8" t="s">
        <v>81</v>
      </c>
      <c r="G17" s="14" t="n">
        <v>414000</v>
      </c>
      <c r="H17" s="8" t="n">
        <v>228</v>
      </c>
      <c r="I17" s="8" t="s">
        <v>19</v>
      </c>
      <c r="J17" s="8" t="s">
        <v>61</v>
      </c>
    </row>
    <row r="18" customFormat="false" ht="15" hidden="false" customHeight="true" outlineLevel="0" collapsed="false">
      <c r="A18" s="8" t="s">
        <v>108</v>
      </c>
      <c r="B18" s="8" t="s">
        <v>109</v>
      </c>
      <c r="C18" s="8" t="s">
        <v>109</v>
      </c>
      <c r="D18" s="8" t="s">
        <v>57</v>
      </c>
      <c r="E18" s="8" t="s">
        <v>65</v>
      </c>
      <c r="F18" s="8" t="s">
        <v>84</v>
      </c>
      <c r="G18" s="14" t="n">
        <v>438000</v>
      </c>
      <c r="H18" s="8" t="n">
        <v>236</v>
      </c>
      <c r="I18" s="8" t="s">
        <v>19</v>
      </c>
      <c r="J18" s="8" t="s">
        <v>61</v>
      </c>
    </row>
    <row r="19" customFormat="false" ht="15" hidden="false" customHeight="true" outlineLevel="0" collapsed="false">
      <c r="A19" s="8" t="s">
        <v>110</v>
      </c>
      <c r="B19" s="8" t="s">
        <v>111</v>
      </c>
      <c r="C19" s="8" t="s">
        <v>111</v>
      </c>
      <c r="D19" s="8" t="s">
        <v>64</v>
      </c>
      <c r="E19" s="8" t="s">
        <v>90</v>
      </c>
      <c r="F19" s="8" t="s">
        <v>87</v>
      </c>
      <c r="G19" s="14" t="n">
        <v>30000</v>
      </c>
      <c r="H19" s="8" t="n">
        <v>244</v>
      </c>
      <c r="I19" s="8" t="s">
        <v>19</v>
      </c>
      <c r="J19" s="8" t="s">
        <v>61</v>
      </c>
    </row>
    <row r="20" customFormat="false" ht="15" hidden="false" customHeight="true" outlineLevel="0" collapsed="false">
      <c r="A20" s="8" t="s">
        <v>112</v>
      </c>
      <c r="B20" s="8" t="s">
        <v>113</v>
      </c>
      <c r="C20" s="8" t="s">
        <v>113</v>
      </c>
      <c r="D20" s="8" t="s">
        <v>69</v>
      </c>
      <c r="E20" s="8" t="s">
        <v>58</v>
      </c>
      <c r="F20" s="8" t="s">
        <v>91</v>
      </c>
      <c r="G20" s="14" t="n">
        <v>54000</v>
      </c>
      <c r="H20" s="8" t="n">
        <v>252</v>
      </c>
      <c r="I20" s="8" t="s">
        <v>19</v>
      </c>
      <c r="J20" s="8" t="s">
        <v>61</v>
      </c>
    </row>
    <row r="21" customFormat="false" ht="15" hidden="false" customHeight="true" outlineLevel="0" collapsed="false">
      <c r="A21" s="8" t="s">
        <v>114</v>
      </c>
      <c r="B21" s="8" t="s">
        <v>115</v>
      </c>
      <c r="C21" s="8" t="s">
        <v>115</v>
      </c>
      <c r="D21" s="8" t="s">
        <v>247</v>
      </c>
      <c r="E21" s="8" t="s">
        <v>65</v>
      </c>
      <c r="F21" s="8" t="s">
        <v>95</v>
      </c>
      <c r="G21" s="14" t="n">
        <v>78000</v>
      </c>
      <c r="H21" s="8" t="n">
        <v>260</v>
      </c>
      <c r="I21" s="8" t="s">
        <v>19</v>
      </c>
      <c r="J21" s="8" t="s">
        <v>277</v>
      </c>
    </row>
    <row r="22" customFormat="false" ht="15" hidden="false" customHeight="true" outlineLevel="0" collapsed="false">
      <c r="A22" s="8" t="s">
        <v>116</v>
      </c>
      <c r="B22" s="8" t="s">
        <v>117</v>
      </c>
      <c r="C22" s="8" t="s">
        <v>117</v>
      </c>
      <c r="D22" s="8" t="s">
        <v>57</v>
      </c>
      <c r="E22" s="8"/>
      <c r="F22" s="8" t="s">
        <v>59</v>
      </c>
      <c r="G22" s="14" t="n">
        <v>102000</v>
      </c>
      <c r="H22" s="8" t="n">
        <v>268</v>
      </c>
      <c r="I22" s="8" t="s">
        <v>19</v>
      </c>
      <c r="J22" s="8" t="s">
        <v>61</v>
      </c>
    </row>
    <row r="23" customFormat="false" ht="15" hidden="false" customHeight="true" outlineLevel="0" collapsed="false">
      <c r="A23" s="8" t="s">
        <v>118</v>
      </c>
      <c r="B23" s="8" t="s">
        <v>119</v>
      </c>
      <c r="C23" s="8" t="s">
        <v>119</v>
      </c>
      <c r="D23" s="8" t="s">
        <v>64</v>
      </c>
      <c r="E23" s="8" t="s">
        <v>58</v>
      </c>
      <c r="F23" s="8" t="s">
        <v>66</v>
      </c>
      <c r="G23" s="14" t="n">
        <v>126000</v>
      </c>
      <c r="H23" s="8"/>
      <c r="I23" s="8" t="s">
        <v>19</v>
      </c>
      <c r="J23" s="8" t="s">
        <v>61</v>
      </c>
    </row>
    <row r="24" customFormat="false" ht="15" hidden="false" customHeight="true" outlineLevel="0" collapsed="false">
      <c r="A24" s="8" t="s">
        <v>120</v>
      </c>
      <c r="B24" s="8" t="s">
        <v>121</v>
      </c>
      <c r="C24" s="8" t="s">
        <v>121</v>
      </c>
      <c r="D24" s="8" t="s">
        <v>69</v>
      </c>
      <c r="E24" s="8" t="s">
        <v>65</v>
      </c>
      <c r="F24" s="8" t="s">
        <v>70</v>
      </c>
      <c r="G24" s="14" t="n">
        <v>150000</v>
      </c>
      <c r="H24" s="8" t="n">
        <v>284</v>
      </c>
      <c r="I24" s="8" t="s">
        <v>19</v>
      </c>
      <c r="J24" s="8" t="s">
        <v>61</v>
      </c>
    </row>
    <row r="25" customFormat="false" ht="15" hidden="false" customHeight="true" outlineLevel="0" collapsed="false">
      <c r="A25" s="8" t="s">
        <v>243</v>
      </c>
      <c r="B25" s="8" t="s">
        <v>241</v>
      </c>
      <c r="C25" s="8" t="s">
        <v>213</v>
      </c>
      <c r="D25" s="8" t="s">
        <v>74</v>
      </c>
      <c r="E25" s="8"/>
      <c r="F25" s="8" t="s">
        <v>75</v>
      </c>
      <c r="G25" s="14" t="n">
        <v>174000</v>
      </c>
      <c r="H25" s="8" t="n">
        <v>292</v>
      </c>
      <c r="I25" s="8" t="s">
        <v>25</v>
      </c>
      <c r="J25" s="8" t="s">
        <v>278</v>
      </c>
    </row>
    <row r="26" customFormat="false" ht="15" hidden="false" customHeight="true" outlineLevel="0" collapsed="false">
      <c r="A26" s="8" t="s">
        <v>122</v>
      </c>
      <c r="B26" s="8" t="s">
        <v>123</v>
      </c>
      <c r="C26" s="8" t="s">
        <v>123</v>
      </c>
      <c r="D26" s="8" t="s">
        <v>57</v>
      </c>
      <c r="E26" s="8" t="s">
        <v>58</v>
      </c>
      <c r="F26" s="8" t="s">
        <v>78</v>
      </c>
      <c r="G26" s="14" t="n">
        <v>198000</v>
      </c>
      <c r="H26" s="8" t="n">
        <v>300</v>
      </c>
      <c r="I26" s="8" t="s">
        <v>19</v>
      </c>
      <c r="J26" s="8" t="s">
        <v>61</v>
      </c>
    </row>
    <row r="27" customFormat="false" ht="15" hidden="false" customHeight="true" outlineLevel="0" collapsed="false">
      <c r="A27" s="8" t="s">
        <v>124</v>
      </c>
      <c r="B27" s="8" t="s">
        <v>125</v>
      </c>
      <c r="C27" s="8" t="s">
        <v>125</v>
      </c>
      <c r="D27" s="8" t="s">
        <v>64</v>
      </c>
      <c r="E27" s="8" t="s">
        <v>65</v>
      </c>
      <c r="F27" s="8"/>
      <c r="G27" s="14" t="n">
        <v>222000</v>
      </c>
      <c r="H27" s="8" t="n">
        <v>308</v>
      </c>
      <c r="I27" s="8" t="s">
        <v>19</v>
      </c>
      <c r="J27" s="8" t="s">
        <v>101</v>
      </c>
    </row>
    <row r="28" customFormat="false" ht="15" hidden="false" customHeight="true" outlineLevel="0" collapsed="false">
      <c r="A28" s="8" t="s">
        <v>126</v>
      </c>
      <c r="B28" s="8" t="s">
        <v>127</v>
      </c>
      <c r="C28" s="8" t="s">
        <v>127</v>
      </c>
      <c r="D28" s="8" t="s">
        <v>69</v>
      </c>
      <c r="E28" s="8" t="s">
        <v>90</v>
      </c>
      <c r="F28" s="8" t="s">
        <v>84</v>
      </c>
      <c r="G28" s="14" t="n">
        <v>246000</v>
      </c>
      <c r="H28" s="8" t="n">
        <v>316</v>
      </c>
      <c r="I28" s="8" t="s">
        <v>19</v>
      </c>
      <c r="J28" s="8" t="s">
        <v>61</v>
      </c>
    </row>
    <row r="29" customFormat="false" ht="15" hidden="false" customHeight="true" outlineLevel="0" collapsed="false">
      <c r="A29" s="8" t="s">
        <v>128</v>
      </c>
      <c r="B29" s="8" t="s">
        <v>129</v>
      </c>
      <c r="C29" s="8" t="s">
        <v>129</v>
      </c>
      <c r="D29" s="8" t="s">
        <v>74</v>
      </c>
      <c r="E29" s="8" t="s">
        <v>58</v>
      </c>
      <c r="F29" s="8" t="s">
        <v>87</v>
      </c>
      <c r="G29" s="14" t="n">
        <v>270000</v>
      </c>
      <c r="H29" s="8" t="n">
        <v>324</v>
      </c>
      <c r="I29" s="8" t="s">
        <v>19</v>
      </c>
      <c r="J29" s="8" t="s">
        <v>61</v>
      </c>
    </row>
    <row r="30" customFormat="false" ht="15" hidden="false" customHeight="true" outlineLevel="0" collapsed="false">
      <c r="A30" s="8" t="s">
        <v>130</v>
      </c>
      <c r="B30" s="8" t="s">
        <v>131</v>
      </c>
      <c r="C30" s="8" t="s">
        <v>131</v>
      </c>
      <c r="D30" s="8" t="s">
        <v>57</v>
      </c>
      <c r="E30" s="8" t="s">
        <v>65</v>
      </c>
      <c r="F30" s="8" t="s">
        <v>91</v>
      </c>
      <c r="G30" s="14" t="n">
        <v>294000</v>
      </c>
      <c r="H30" s="8" t="n">
        <v>332</v>
      </c>
      <c r="I30" s="8" t="s">
        <v>19</v>
      </c>
      <c r="J30" s="8" t="s">
        <v>61</v>
      </c>
    </row>
    <row r="31" customFormat="false" ht="15" hidden="false" customHeight="true" outlineLevel="0" collapsed="false">
      <c r="A31" s="8" t="s">
        <v>132</v>
      </c>
      <c r="B31" s="8" t="s">
        <v>133</v>
      </c>
      <c r="C31" s="8" t="s">
        <v>133</v>
      </c>
      <c r="D31" s="8" t="s">
        <v>247</v>
      </c>
      <c r="E31" s="8"/>
      <c r="F31" s="8" t="s">
        <v>95</v>
      </c>
      <c r="G31" s="14" t="n">
        <v>318000</v>
      </c>
      <c r="H31" s="8" t="n">
        <v>340</v>
      </c>
      <c r="I31" s="8" t="s">
        <v>19</v>
      </c>
      <c r="J31" s="8" t="s">
        <v>277</v>
      </c>
    </row>
    <row r="32" customFormat="false" ht="15" hidden="false" customHeight="true" outlineLevel="0" collapsed="false">
      <c r="A32" s="8" t="s">
        <v>134</v>
      </c>
      <c r="B32" s="8" t="s">
        <v>135</v>
      </c>
      <c r="C32" s="8" t="s">
        <v>135</v>
      </c>
      <c r="D32" s="8" t="s">
        <v>69</v>
      </c>
      <c r="E32" s="8" t="s">
        <v>58</v>
      </c>
      <c r="F32" s="8" t="s">
        <v>59</v>
      </c>
      <c r="G32" s="14" t="n">
        <v>342000</v>
      </c>
      <c r="H32" s="8" t="n">
        <v>348</v>
      </c>
      <c r="I32" s="8" t="s">
        <v>19</v>
      </c>
      <c r="J32" s="8" t="s">
        <v>61</v>
      </c>
    </row>
    <row r="33" customFormat="false" ht="15" hidden="false" customHeight="true" outlineLevel="0" collapsed="false">
      <c r="A33" s="8" t="s">
        <v>136</v>
      </c>
      <c r="B33" s="8" t="s">
        <v>137</v>
      </c>
      <c r="C33" s="8" t="s">
        <v>137</v>
      </c>
      <c r="D33" s="8" t="s">
        <v>74</v>
      </c>
      <c r="E33" s="8" t="s">
        <v>65</v>
      </c>
      <c r="F33" s="8" t="s">
        <v>66</v>
      </c>
      <c r="G33" s="14" t="n">
        <v>366000</v>
      </c>
      <c r="H33" s="8" t="n">
        <v>356</v>
      </c>
      <c r="I33" s="8" t="s">
        <v>19</v>
      </c>
      <c r="J33" s="8" t="s">
        <v>61</v>
      </c>
    </row>
    <row r="34" customFormat="false" ht="15" hidden="false" customHeight="true" outlineLevel="0" collapsed="false">
      <c r="A34" s="8" t="s">
        <v>138</v>
      </c>
      <c r="B34" s="8" t="s">
        <v>139</v>
      </c>
      <c r="C34" s="8" t="s">
        <v>139</v>
      </c>
      <c r="D34" s="8" t="s">
        <v>57</v>
      </c>
      <c r="E34" s="8"/>
      <c r="F34" s="8" t="s">
        <v>70</v>
      </c>
      <c r="G34" s="14" t="n">
        <v>390000</v>
      </c>
      <c r="H34" s="8"/>
      <c r="I34" s="8" t="s">
        <v>19</v>
      </c>
      <c r="J34" s="8" t="s">
        <v>61</v>
      </c>
    </row>
    <row r="35" customFormat="false" ht="15" hidden="false" customHeight="true" outlineLevel="0" collapsed="false">
      <c r="A35" s="8" t="s">
        <v>141</v>
      </c>
      <c r="B35" s="8" t="s">
        <v>142</v>
      </c>
      <c r="C35" s="8" t="s">
        <v>142</v>
      </c>
      <c r="D35" s="8" t="s">
        <v>64</v>
      </c>
      <c r="E35" s="8" t="s">
        <v>58</v>
      </c>
      <c r="F35" s="8" t="s">
        <v>75</v>
      </c>
      <c r="G35" s="14" t="n">
        <v>414000</v>
      </c>
      <c r="H35" s="8" t="n">
        <v>372</v>
      </c>
      <c r="I35" s="8" t="s">
        <v>19</v>
      </c>
      <c r="J35" s="8" t="s">
        <v>61</v>
      </c>
    </row>
    <row r="36" customFormat="false" ht="15" hidden="false" customHeight="true" outlineLevel="0" collapsed="false">
      <c r="A36" s="8" t="s">
        <v>143</v>
      </c>
      <c r="B36" s="8" t="s">
        <v>144</v>
      </c>
      <c r="C36" s="8" t="s">
        <v>144</v>
      </c>
      <c r="D36" s="8" t="s">
        <v>69</v>
      </c>
      <c r="E36" s="8" t="s">
        <v>65</v>
      </c>
      <c r="F36" s="8" t="s">
        <v>78</v>
      </c>
      <c r="G36" s="14" t="n">
        <v>438000</v>
      </c>
      <c r="H36" s="8" t="n">
        <v>380</v>
      </c>
      <c r="I36" s="8" t="s">
        <v>19</v>
      </c>
      <c r="J36" s="8" t="s">
        <v>61</v>
      </c>
    </row>
    <row r="37" customFormat="false" ht="15" hidden="false" customHeight="true" outlineLevel="0" collapsed="false">
      <c r="A37" s="8" t="s">
        <v>244</v>
      </c>
      <c r="B37" s="8" t="s">
        <v>241</v>
      </c>
      <c r="C37" s="8" t="s">
        <v>213</v>
      </c>
      <c r="D37" s="8" t="s">
        <v>74</v>
      </c>
      <c r="E37" s="8" t="s">
        <v>90</v>
      </c>
      <c r="F37" s="8" t="s">
        <v>81</v>
      </c>
      <c r="G37" s="14" t="n">
        <v>30000</v>
      </c>
      <c r="H37" s="8" t="n">
        <v>388</v>
      </c>
      <c r="I37" s="8" t="s">
        <v>25</v>
      </c>
      <c r="J37" s="8" t="s">
        <v>278</v>
      </c>
    </row>
    <row r="38" customFormat="false" ht="15" hidden="false" customHeight="true" outlineLevel="0" collapsed="false">
      <c r="A38" s="8" t="s">
        <v>145</v>
      </c>
      <c r="B38" s="8" t="s">
        <v>146</v>
      </c>
      <c r="C38" s="8" t="s">
        <v>146</v>
      </c>
      <c r="D38" s="8" t="s">
        <v>57</v>
      </c>
      <c r="E38" s="8" t="s">
        <v>58</v>
      </c>
      <c r="F38" s="8" t="s">
        <v>84</v>
      </c>
      <c r="G38" s="14" t="n">
        <v>54000</v>
      </c>
      <c r="H38" s="8" t="n">
        <v>396</v>
      </c>
      <c r="I38" s="8" t="s">
        <v>19</v>
      </c>
      <c r="J38" s="8" t="s">
        <v>61</v>
      </c>
    </row>
    <row r="39" customFormat="false" ht="15" hidden="false" customHeight="true" outlineLevel="0" collapsed="false">
      <c r="A39" s="8" t="s">
        <v>147</v>
      </c>
      <c r="B39" s="8" t="s">
        <v>148</v>
      </c>
      <c r="C39" s="8" t="s">
        <v>148</v>
      </c>
      <c r="D39" s="8" t="s">
        <v>64</v>
      </c>
      <c r="E39" s="8" t="s">
        <v>65</v>
      </c>
      <c r="F39" s="8" t="s">
        <v>87</v>
      </c>
      <c r="G39" s="14" t="n">
        <v>78000</v>
      </c>
      <c r="H39" s="8" t="n">
        <v>404</v>
      </c>
      <c r="I39" s="8" t="s">
        <v>19</v>
      </c>
      <c r="J39" s="8" t="s">
        <v>61</v>
      </c>
    </row>
    <row r="40" customFormat="false" ht="15" hidden="false" customHeight="true" outlineLevel="0" collapsed="false">
      <c r="A40" s="8" t="s">
        <v>149</v>
      </c>
      <c r="B40" s="8" t="s">
        <v>150</v>
      </c>
      <c r="C40" s="8" t="s">
        <v>150</v>
      </c>
      <c r="D40" s="8" t="s">
        <v>69</v>
      </c>
      <c r="E40" s="8"/>
      <c r="F40" s="8"/>
      <c r="G40" s="14" t="n">
        <v>102000</v>
      </c>
      <c r="H40" s="8" t="n">
        <v>412</v>
      </c>
      <c r="I40" s="8" t="s">
        <v>19</v>
      </c>
      <c r="J40" s="8" t="s">
        <v>101</v>
      </c>
    </row>
    <row r="41" customFormat="false" ht="15" hidden="false" customHeight="true" outlineLevel="0" collapsed="false">
      <c r="A41" s="8" t="s">
        <v>152</v>
      </c>
      <c r="B41" s="8" t="s">
        <v>153</v>
      </c>
      <c r="C41" s="8" t="s">
        <v>153</v>
      </c>
      <c r="D41" s="8" t="s">
        <v>247</v>
      </c>
      <c r="E41" s="8" t="s">
        <v>58</v>
      </c>
      <c r="F41" s="8" t="s">
        <v>95</v>
      </c>
      <c r="G41" s="14" t="n">
        <v>126000</v>
      </c>
      <c r="H41" s="8" t="n">
        <v>420</v>
      </c>
      <c r="I41" s="8" t="s">
        <v>19</v>
      </c>
      <c r="J41" s="8" t="s">
        <v>277</v>
      </c>
    </row>
    <row r="42" customFormat="false" ht="15" hidden="false" customHeight="true" outlineLevel="0" collapsed="false">
      <c r="A42" s="8" t="s">
        <v>154</v>
      </c>
      <c r="B42" s="8" t="s">
        <v>155</v>
      </c>
      <c r="C42" s="8" t="s">
        <v>155</v>
      </c>
      <c r="D42" s="8" t="s">
        <v>57</v>
      </c>
      <c r="E42" s="8" t="s">
        <v>65</v>
      </c>
      <c r="F42" s="8" t="s">
        <v>59</v>
      </c>
      <c r="G42" s="14" t="n">
        <v>150000</v>
      </c>
      <c r="H42" s="8" t="n">
        <v>428</v>
      </c>
      <c r="I42" s="8" t="s">
        <v>19</v>
      </c>
      <c r="J42" s="8" t="s">
        <v>61</v>
      </c>
    </row>
    <row r="43" customFormat="false" ht="15" hidden="false" customHeight="true" outlineLevel="0" collapsed="false">
      <c r="A43" s="8" t="s">
        <v>156</v>
      </c>
      <c r="B43" s="8" t="s">
        <v>157</v>
      </c>
      <c r="C43" s="8" t="s">
        <v>157</v>
      </c>
      <c r="D43" s="8" t="s">
        <v>64</v>
      </c>
      <c r="E43" s="8"/>
      <c r="F43" s="8" t="s">
        <v>66</v>
      </c>
      <c r="G43" s="14" t="n">
        <v>174000</v>
      </c>
      <c r="H43" s="8" t="n">
        <v>436</v>
      </c>
      <c r="I43" s="8" t="s">
        <v>19</v>
      </c>
      <c r="J43" s="8" t="s">
        <v>61</v>
      </c>
    </row>
    <row r="44" customFormat="false" ht="15" hidden="false" customHeight="true" outlineLevel="0" collapsed="false">
      <c r="A44" s="8" t="s">
        <v>158</v>
      </c>
      <c r="B44" s="8" t="s">
        <v>159</v>
      </c>
      <c r="C44" s="8" t="s">
        <v>159</v>
      </c>
      <c r="D44" s="8" t="s">
        <v>69</v>
      </c>
      <c r="E44" s="8" t="s">
        <v>58</v>
      </c>
      <c r="F44" s="8" t="s">
        <v>70</v>
      </c>
      <c r="G44" s="14" t="n">
        <v>198000</v>
      </c>
      <c r="H44" s="8" t="n">
        <v>444</v>
      </c>
      <c r="I44" s="8" t="s">
        <v>19</v>
      </c>
      <c r="J44" s="8" t="s">
        <v>61</v>
      </c>
    </row>
    <row r="45" customFormat="false" ht="15" hidden="false" customHeight="true" outlineLevel="0" collapsed="false">
      <c r="A45" s="8" t="s">
        <v>160</v>
      </c>
      <c r="B45" s="8" t="s">
        <v>161</v>
      </c>
      <c r="C45" s="8" t="s">
        <v>161</v>
      </c>
      <c r="D45" s="8" t="s">
        <v>74</v>
      </c>
      <c r="E45" s="8" t="s">
        <v>65</v>
      </c>
      <c r="F45" s="8" t="s">
        <v>75</v>
      </c>
      <c r="G45" s="14" t="n">
        <v>222000</v>
      </c>
      <c r="H45" s="8"/>
      <c r="I45" s="8" t="s">
        <v>19</v>
      </c>
      <c r="J45" s="8" t="s">
        <v>61</v>
      </c>
    </row>
    <row r="46" customFormat="false" ht="15" hidden="false" customHeight="true" outlineLevel="0" collapsed="false">
      <c r="A46" s="8" t="s">
        <v>162</v>
      </c>
      <c r="B46" s="8" t="s">
        <v>163</v>
      </c>
      <c r="C46" s="8" t="s">
        <v>163</v>
      </c>
      <c r="D46" s="8" t="s">
        <v>57</v>
      </c>
      <c r="E46" s="8" t="s">
        <v>90</v>
      </c>
      <c r="F46" s="8" t="s">
        <v>78</v>
      </c>
      <c r="G46" s="14" t="n">
        <v>246000</v>
      </c>
      <c r="H46" s="8" t="n">
        <v>460</v>
      </c>
      <c r="I46" s="8" t="s">
        <v>19</v>
      </c>
      <c r="J46" s="8" t="s">
        <v>61</v>
      </c>
    </row>
    <row r="47" customFormat="false" ht="15" hidden="false" customHeight="true" outlineLevel="0" collapsed="false">
      <c r="A47" s="8" t="s">
        <v>164</v>
      </c>
      <c r="B47" s="8" t="s">
        <v>165</v>
      </c>
      <c r="C47" s="8" t="s">
        <v>165</v>
      </c>
      <c r="D47" s="8" t="s">
        <v>64</v>
      </c>
      <c r="E47" s="8" t="s">
        <v>58</v>
      </c>
      <c r="F47" s="8" t="s">
        <v>81</v>
      </c>
      <c r="G47" s="14" t="n">
        <v>270000</v>
      </c>
      <c r="H47" s="8" t="n">
        <v>468</v>
      </c>
      <c r="I47" s="8" t="s">
        <v>19</v>
      </c>
      <c r="J47" s="8" t="s">
        <v>61</v>
      </c>
    </row>
    <row r="48" customFormat="false" ht="15" hidden="false" customHeight="true" outlineLevel="0" collapsed="false">
      <c r="A48" s="8" t="s">
        <v>166</v>
      </c>
      <c r="B48" s="8" t="s">
        <v>167</v>
      </c>
      <c r="C48" s="8" t="s">
        <v>167</v>
      </c>
      <c r="D48" s="8" t="s">
        <v>69</v>
      </c>
      <c r="E48" s="8" t="s">
        <v>65</v>
      </c>
      <c r="F48" s="8" t="s">
        <v>84</v>
      </c>
      <c r="G48" s="14" t="n">
        <v>294000</v>
      </c>
      <c r="H48" s="8" t="n">
        <v>476</v>
      </c>
      <c r="I48" s="8" t="s">
        <v>19</v>
      </c>
      <c r="J48" s="8" t="s">
        <v>61</v>
      </c>
    </row>
    <row r="49" customFormat="false" ht="15" hidden="false" customHeight="true" outlineLevel="0" collapsed="false">
      <c r="A49" s="8" t="s">
        <v>245</v>
      </c>
      <c r="B49" s="8" t="s">
        <v>241</v>
      </c>
      <c r="C49" s="8" t="s">
        <v>213</v>
      </c>
      <c r="D49" s="8" t="s">
        <v>74</v>
      </c>
      <c r="E49" s="8"/>
      <c r="F49" s="8" t="s">
        <v>87</v>
      </c>
      <c r="G49" s="14" t="n">
        <v>318000</v>
      </c>
      <c r="H49" s="8" t="n">
        <v>484</v>
      </c>
      <c r="I49" s="8" t="s">
        <v>25</v>
      </c>
      <c r="J49" s="8" t="s">
        <v>278</v>
      </c>
    </row>
    <row r="50" customFormat="false" ht="15" hidden="false" customHeight="true" outlineLevel="0" collapsed="false">
      <c r="A50" s="8" t="s">
        <v>168</v>
      </c>
      <c r="B50" s="8" t="s">
        <v>169</v>
      </c>
      <c r="C50" s="8" t="s">
        <v>169</v>
      </c>
      <c r="D50" s="8" t="s">
        <v>57</v>
      </c>
      <c r="E50" s="8" t="s">
        <v>58</v>
      </c>
      <c r="F50" s="8" t="s">
        <v>91</v>
      </c>
      <c r="G50" s="14" t="n">
        <v>342000</v>
      </c>
      <c r="H50" s="8" t="n">
        <v>492</v>
      </c>
      <c r="I50" s="8" t="s">
        <v>19</v>
      </c>
      <c r="J50" s="8" t="s">
        <v>61</v>
      </c>
    </row>
    <row r="51" customFormat="false" ht="15" hidden="false" customHeight="true" outlineLevel="0" collapsed="false">
      <c r="A51" s="8" t="s">
        <v>170</v>
      </c>
      <c r="B51" s="8" t="s">
        <v>171</v>
      </c>
      <c r="C51" s="8" t="s">
        <v>171</v>
      </c>
      <c r="D51" s="8" t="s">
        <v>247</v>
      </c>
      <c r="E51" s="8" t="s">
        <v>65</v>
      </c>
      <c r="F51" s="8" t="s">
        <v>95</v>
      </c>
      <c r="G51" s="14" t="n">
        <v>366000</v>
      </c>
      <c r="H51" s="8" t="n">
        <v>500</v>
      </c>
      <c r="I51" s="8" t="s">
        <v>19</v>
      </c>
      <c r="J51" s="8" t="s">
        <v>277</v>
      </c>
    </row>
    <row r="52" customFormat="false" ht="15" hidden="false" customHeight="true" outlineLevel="0" collapsed="false">
      <c r="A52" s="8" t="s">
        <v>172</v>
      </c>
      <c r="B52" s="8" t="s">
        <v>173</v>
      </c>
      <c r="C52" s="8" t="s">
        <v>173</v>
      </c>
      <c r="D52" s="8" t="s">
        <v>69</v>
      </c>
      <c r="E52" s="8"/>
      <c r="F52" s="8" t="s">
        <v>59</v>
      </c>
      <c r="G52" s="14" t="n">
        <v>390000</v>
      </c>
      <c r="H52" s="8" t="n">
        <v>508</v>
      </c>
      <c r="I52" s="8" t="s">
        <v>19</v>
      </c>
      <c r="J52" s="8" t="s">
        <v>61</v>
      </c>
    </row>
    <row r="53" customFormat="false" ht="15" hidden="false" customHeight="true" outlineLevel="0" collapsed="false">
      <c r="A53" s="8" t="s">
        <v>174</v>
      </c>
      <c r="B53" s="8" t="s">
        <v>175</v>
      </c>
      <c r="C53" s="8" t="s">
        <v>175</v>
      </c>
      <c r="D53" s="8" t="s">
        <v>74</v>
      </c>
      <c r="E53" s="8" t="s">
        <v>58</v>
      </c>
      <c r="F53" s="8"/>
      <c r="G53" s="14" t="n">
        <v>414000</v>
      </c>
      <c r="H53" s="8" t="n">
        <v>516</v>
      </c>
      <c r="I53" s="8" t="s">
        <v>19</v>
      </c>
      <c r="J53" s="8" t="s">
        <v>101</v>
      </c>
    </row>
    <row r="54" customFormat="false" ht="15" hidden="false" customHeight="true" outlineLevel="0" collapsed="false">
      <c r="A54" s="8" t="s">
        <v>176</v>
      </c>
      <c r="B54" s="8" t="s">
        <v>177</v>
      </c>
      <c r="C54" s="8" t="s">
        <v>177</v>
      </c>
      <c r="D54" s="8" t="s">
        <v>57</v>
      </c>
      <c r="E54" s="8" t="s">
        <v>65</v>
      </c>
      <c r="F54" s="8" t="s">
        <v>70</v>
      </c>
      <c r="G54" s="14" t="n">
        <v>438000</v>
      </c>
      <c r="H54" s="8" t="n">
        <v>524</v>
      </c>
      <c r="I54" s="8" t="s">
        <v>19</v>
      </c>
      <c r="J54" s="8" t="s">
        <v>61</v>
      </c>
    </row>
    <row r="55" customFormat="false" ht="15" hidden="false" customHeight="true" outlineLevel="0" collapsed="false">
      <c r="A55" s="8" t="s">
        <v>178</v>
      </c>
      <c r="B55" s="8" t="s">
        <v>179</v>
      </c>
      <c r="C55" s="8" t="s">
        <v>179</v>
      </c>
      <c r="D55" s="8" t="s">
        <v>64</v>
      </c>
      <c r="E55" s="8" t="s">
        <v>90</v>
      </c>
      <c r="F55" s="8" t="s">
        <v>75</v>
      </c>
      <c r="G55" s="14" t="n">
        <v>30000</v>
      </c>
      <c r="H55" s="8" t="n">
        <v>532</v>
      </c>
      <c r="I55" s="8" t="s">
        <v>19</v>
      </c>
      <c r="J55" s="8" t="s">
        <v>61</v>
      </c>
    </row>
    <row r="56" customFormat="false" ht="15" hidden="false" customHeight="true" outlineLevel="0" collapsed="false">
      <c r="A56" s="8" t="s">
        <v>180</v>
      </c>
      <c r="B56" s="8" t="s">
        <v>181</v>
      </c>
      <c r="C56" s="8" t="s">
        <v>181</v>
      </c>
      <c r="D56" s="8" t="s">
        <v>69</v>
      </c>
      <c r="E56" s="8" t="s">
        <v>58</v>
      </c>
      <c r="F56" s="8" t="s">
        <v>78</v>
      </c>
      <c r="G56" s="14" t="n">
        <v>54000</v>
      </c>
      <c r="H56" s="8"/>
      <c r="I56" s="8" t="s">
        <v>19</v>
      </c>
      <c r="J56" s="8" t="s">
        <v>61</v>
      </c>
    </row>
    <row r="57" customFormat="false" ht="15" hidden="false" customHeight="true" outlineLevel="0" collapsed="false">
      <c r="A57" s="8" t="s">
        <v>182</v>
      </c>
      <c r="B57" s="8" t="s">
        <v>183</v>
      </c>
      <c r="C57" s="8" t="s">
        <v>183</v>
      </c>
      <c r="D57" s="8" t="s">
        <v>74</v>
      </c>
      <c r="E57" s="8" t="s">
        <v>65</v>
      </c>
      <c r="F57" s="8" t="s">
        <v>81</v>
      </c>
      <c r="G57" s="14" t="n">
        <v>78000</v>
      </c>
      <c r="H57" s="8" t="n">
        <v>548</v>
      </c>
      <c r="I57" s="8" t="s">
        <v>19</v>
      </c>
      <c r="J57" s="8" t="s">
        <v>61</v>
      </c>
    </row>
    <row r="58" customFormat="false" ht="15" hidden="false" customHeight="true" outlineLevel="0" collapsed="false">
      <c r="A58" s="8" t="s">
        <v>184</v>
      </c>
      <c r="B58" s="8" t="s">
        <v>185</v>
      </c>
      <c r="C58" s="8" t="s">
        <v>185</v>
      </c>
      <c r="D58" s="8" t="s">
        <v>57</v>
      </c>
      <c r="E58" s="8"/>
      <c r="F58" s="8" t="s">
        <v>84</v>
      </c>
      <c r="G58" s="14" t="n">
        <v>102000</v>
      </c>
      <c r="H58" s="8" t="n">
        <v>556</v>
      </c>
      <c r="I58" s="8" t="s">
        <v>19</v>
      </c>
      <c r="J58" s="8" t="s">
        <v>61</v>
      </c>
    </row>
    <row r="59" customFormat="false" ht="15" hidden="false" customHeight="true" outlineLevel="0" collapsed="false">
      <c r="A59" s="8" t="s">
        <v>186</v>
      </c>
      <c r="B59" s="8" t="s">
        <v>187</v>
      </c>
      <c r="C59" s="8" t="s">
        <v>187</v>
      </c>
      <c r="D59" s="8" t="s">
        <v>64</v>
      </c>
      <c r="E59" s="8" t="s">
        <v>58</v>
      </c>
      <c r="F59" s="8" t="s">
        <v>87</v>
      </c>
      <c r="G59" s="14" t="n">
        <v>126000</v>
      </c>
      <c r="H59" s="8" t="n">
        <v>564</v>
      </c>
      <c r="I59" s="8" t="s">
        <v>19</v>
      </c>
      <c r="J59" s="8" t="s">
        <v>61</v>
      </c>
    </row>
    <row r="60" customFormat="false" ht="15" hidden="false" customHeight="true" outlineLevel="0" collapsed="false">
      <c r="A60" s="8" t="s">
        <v>188</v>
      </c>
      <c r="B60" s="8" t="s">
        <v>189</v>
      </c>
      <c r="C60" s="8" t="s">
        <v>189</v>
      </c>
      <c r="D60" s="8" t="s">
        <v>69</v>
      </c>
      <c r="E60" s="8" t="s">
        <v>65</v>
      </c>
      <c r="F60" s="8" t="s">
        <v>91</v>
      </c>
      <c r="G60" s="14" t="n">
        <v>150000</v>
      </c>
      <c r="H60" s="8" t="n">
        <v>572</v>
      </c>
      <c r="I60" s="8" t="s">
        <v>19</v>
      </c>
      <c r="J60" s="8" t="s">
        <v>61</v>
      </c>
    </row>
    <row r="61" customFormat="false" ht="15" hidden="false" customHeight="true" outlineLevel="0" collapsed="false">
      <c r="A61" s="8" t="s">
        <v>246</v>
      </c>
      <c r="B61" s="8" t="s">
        <v>241</v>
      </c>
      <c r="C61" s="8" t="s">
        <v>213</v>
      </c>
      <c r="D61" s="8" t="s">
        <v>247</v>
      </c>
      <c r="E61" s="8"/>
      <c r="F61" s="8" t="s">
        <v>95</v>
      </c>
      <c r="G61" s="14" t="n">
        <v>174000</v>
      </c>
      <c r="H61" s="8" t="n">
        <v>580</v>
      </c>
      <c r="I61" s="8" t="s">
        <v>25</v>
      </c>
      <c r="J61" s="8" t="s">
        <v>278</v>
      </c>
    </row>
    <row r="62" customFormat="false" ht="15" hidden="false" customHeight="true" outlineLevel="0" collapsed="false">
      <c r="A62" s="8" t="s">
        <v>190</v>
      </c>
      <c r="B62" s="8" t="s">
        <v>191</v>
      </c>
      <c r="C62" s="8" t="s">
        <v>191</v>
      </c>
      <c r="D62" s="8" t="s">
        <v>57</v>
      </c>
      <c r="E62" s="8" t="s">
        <v>58</v>
      </c>
      <c r="F62" s="8" t="s">
        <v>59</v>
      </c>
      <c r="G62" s="14" t="n">
        <v>198000</v>
      </c>
      <c r="H62" s="8" t="n">
        <v>588</v>
      </c>
      <c r="I62" s="8" t="s">
        <v>19</v>
      </c>
      <c r="J62" s="8" t="s">
        <v>61</v>
      </c>
    </row>
    <row r="63" customFormat="false" ht="15" hidden="false" customHeight="true" outlineLevel="0" collapsed="false">
      <c r="A63" s="8" t="s">
        <v>192</v>
      </c>
      <c r="B63" s="8" t="s">
        <v>193</v>
      </c>
      <c r="C63" s="8" t="s">
        <v>193</v>
      </c>
      <c r="D63" s="8" t="s">
        <v>64</v>
      </c>
      <c r="E63" s="8" t="s">
        <v>65</v>
      </c>
      <c r="F63" s="8" t="s">
        <v>66</v>
      </c>
      <c r="G63" s="14" t="n">
        <v>222000</v>
      </c>
      <c r="H63" s="8" t="n">
        <v>596</v>
      </c>
      <c r="I63" s="8" t="s">
        <v>19</v>
      </c>
      <c r="J63" s="8" t="s">
        <v>61</v>
      </c>
    </row>
    <row r="64" customFormat="false" ht="15" hidden="false" customHeight="true" outlineLevel="0" collapsed="false">
      <c r="A64" s="8" t="s">
        <v>194</v>
      </c>
      <c r="B64" s="8" t="s">
        <v>195</v>
      </c>
      <c r="C64" s="8" t="s">
        <v>195</v>
      </c>
      <c r="D64" s="8" t="s">
        <v>69</v>
      </c>
      <c r="E64" s="8" t="s">
        <v>90</v>
      </c>
      <c r="F64" s="8" t="s">
        <v>70</v>
      </c>
      <c r="G64" s="14" t="n">
        <v>246000</v>
      </c>
      <c r="H64" s="8" t="n">
        <v>604</v>
      </c>
      <c r="I64" s="8" t="s">
        <v>19</v>
      </c>
      <c r="J64" s="8" t="s">
        <v>61</v>
      </c>
    </row>
    <row r="65" customFormat="false" ht="15" hidden="false" customHeight="true" outlineLevel="0" collapsed="false">
      <c r="A65" s="8" t="s">
        <v>196</v>
      </c>
      <c r="B65" s="8" t="s">
        <v>197</v>
      </c>
      <c r="C65" s="8" t="s">
        <v>197</v>
      </c>
      <c r="D65" s="8" t="s">
        <v>74</v>
      </c>
      <c r="E65" s="8" t="s">
        <v>58</v>
      </c>
      <c r="F65" s="8" t="s">
        <v>75</v>
      </c>
      <c r="G65" s="14" t="n">
        <v>270000</v>
      </c>
      <c r="H65" s="8" t="n">
        <v>612</v>
      </c>
      <c r="I65" s="8" t="s">
        <v>19</v>
      </c>
      <c r="J65" s="8" t="s">
        <v>61</v>
      </c>
    </row>
    <row r="66" customFormat="false" ht="15" hidden="false" customHeight="true" outlineLevel="0" collapsed="false">
      <c r="A66" s="8" t="s">
        <v>198</v>
      </c>
      <c r="B66" s="8" t="s">
        <v>199</v>
      </c>
      <c r="C66" s="8" t="s">
        <v>199</v>
      </c>
      <c r="D66" s="8" t="s">
        <v>57</v>
      </c>
      <c r="E66" s="8" t="s">
        <v>65</v>
      </c>
      <c r="F66" s="8"/>
      <c r="G66" s="14" t="n">
        <v>294000</v>
      </c>
      <c r="H66" s="8" t="n">
        <v>620</v>
      </c>
      <c r="I66" s="8" t="s">
        <v>19</v>
      </c>
      <c r="J66" s="8" t="s">
        <v>101</v>
      </c>
    </row>
    <row r="67" customFormat="false" ht="15" hidden="false" customHeight="true" outlineLevel="0" collapsed="false">
      <c r="A67" s="8" t="s">
        <v>200</v>
      </c>
      <c r="B67" s="8" t="s">
        <v>201</v>
      </c>
      <c r="C67" s="8" t="s">
        <v>201</v>
      </c>
      <c r="D67" s="8" t="s">
        <v>64</v>
      </c>
      <c r="E67" s="8"/>
      <c r="F67" s="8" t="s">
        <v>81</v>
      </c>
      <c r="G67" s="14" t="n">
        <v>318000</v>
      </c>
      <c r="H67" s="8"/>
      <c r="I67" s="8" t="s">
        <v>19</v>
      </c>
      <c r="J67" s="8" t="s">
        <v>61</v>
      </c>
    </row>
    <row r="68" customFormat="false" ht="15" hidden="false" customHeight="true" outlineLevel="0" collapsed="false">
      <c r="A68" s="8" t="s">
        <v>202</v>
      </c>
      <c r="B68" s="8" t="s">
        <v>203</v>
      </c>
      <c r="C68" s="8" t="s">
        <v>203</v>
      </c>
      <c r="D68" s="8" t="s">
        <v>69</v>
      </c>
      <c r="E68" s="8" t="s">
        <v>58</v>
      </c>
      <c r="F68" s="8" t="s">
        <v>84</v>
      </c>
      <c r="G68" s="14" t="n">
        <v>342000</v>
      </c>
      <c r="H68" s="8" t="n">
        <v>636</v>
      </c>
      <c r="I68" s="8" t="s">
        <v>19</v>
      </c>
      <c r="J68" s="8" t="s">
        <v>61</v>
      </c>
    </row>
    <row r="69" customFormat="false" ht="15" hidden="false" customHeight="true" outlineLevel="0" collapsed="false">
      <c r="A69" s="8" t="s">
        <v>204</v>
      </c>
      <c r="B69" s="8" t="s">
        <v>205</v>
      </c>
      <c r="C69" s="8" t="s">
        <v>205</v>
      </c>
      <c r="D69" s="8" t="s">
        <v>74</v>
      </c>
      <c r="E69" s="8" t="s">
        <v>65</v>
      </c>
      <c r="F69" s="8" t="s">
        <v>87</v>
      </c>
      <c r="G69" s="14" t="n">
        <v>366000</v>
      </c>
      <c r="H69" s="8" t="n">
        <v>644</v>
      </c>
      <c r="I69" s="8" t="s">
        <v>19</v>
      </c>
      <c r="J69" s="8" t="s">
        <v>61</v>
      </c>
    </row>
    <row r="70" customFormat="false" ht="15" hidden="false" customHeight="true" outlineLevel="0" collapsed="false">
      <c r="A70" s="8" t="s">
        <v>206</v>
      </c>
      <c r="B70" s="8" t="s">
        <v>207</v>
      </c>
      <c r="C70" s="8" t="s">
        <v>207</v>
      </c>
      <c r="D70" s="8" t="s">
        <v>57</v>
      </c>
      <c r="E70" s="8"/>
      <c r="F70" s="8" t="s">
        <v>91</v>
      </c>
      <c r="G70" s="14" t="n">
        <v>390000</v>
      </c>
      <c r="H70" s="8" t="n">
        <v>652</v>
      </c>
      <c r="I70" s="8" t="s">
        <v>19</v>
      </c>
      <c r="J70" s="8" t="s">
        <v>61</v>
      </c>
    </row>
    <row r="71" customFormat="false" ht="15" hidden="false" customHeight="true" outlineLevel="0" collapsed="false">
      <c r="A71" s="8" t="s">
        <v>208</v>
      </c>
      <c r="B71" s="8" t="s">
        <v>209</v>
      </c>
      <c r="C71" s="8" t="s">
        <v>209</v>
      </c>
      <c r="D71" s="8" t="s">
        <v>247</v>
      </c>
      <c r="E71" s="8" t="s">
        <v>58</v>
      </c>
      <c r="F71" s="8" t="s">
        <v>95</v>
      </c>
      <c r="G71" s="14" t="n">
        <v>414000</v>
      </c>
      <c r="H71" s="8" t="n">
        <v>660</v>
      </c>
      <c r="I71" s="8" t="s">
        <v>19</v>
      </c>
      <c r="J71" s="8" t="s">
        <v>277</v>
      </c>
    </row>
    <row r="72" customFormat="false" ht="15" hidden="false" customHeight="true" outlineLevel="0" collapsed="false">
      <c r="A72" s="8" t="s">
        <v>210</v>
      </c>
      <c r="B72" s="8" t="s">
        <v>211</v>
      </c>
      <c r="C72" s="8" t="s">
        <v>211</v>
      </c>
      <c r="D72" s="8" t="s">
        <v>69</v>
      </c>
      <c r="E72" s="8" t="s">
        <v>65</v>
      </c>
      <c r="F72" s="8" t="s">
        <v>59</v>
      </c>
      <c r="G72" s="14" t="n">
        <v>438000</v>
      </c>
      <c r="H72" s="8" t="n">
        <v>668</v>
      </c>
      <c r="I72" s="8" t="s">
        <v>19</v>
      </c>
      <c r="J72" s="8" t="s">
        <v>61</v>
      </c>
    </row>
    <row r="73" customFormat="false" ht="15" hidden="false" customHeight="true" outlineLevel="0" collapsed="false">
      <c r="A73" s="8" t="s">
        <v>212</v>
      </c>
      <c r="B73" s="8" t="s">
        <v>241</v>
      </c>
      <c r="C73" s="8" t="s">
        <v>213</v>
      </c>
      <c r="D73" s="8" t="s">
        <v>74</v>
      </c>
      <c r="E73" s="8" t="s">
        <v>90</v>
      </c>
      <c r="F73" s="8" t="s">
        <v>66</v>
      </c>
      <c r="G73" s="14" t="n">
        <v>30000</v>
      </c>
      <c r="H73" s="8" t="n">
        <v>676</v>
      </c>
      <c r="I73" s="8" t="s">
        <v>25</v>
      </c>
      <c r="J73" s="8" t="s">
        <v>278</v>
      </c>
    </row>
    <row r="74" customFormat="false" ht="15" hidden="false" customHeight="true" outlineLevel="0" collapsed="false">
      <c r="A74" s="8" t="s">
        <v>216</v>
      </c>
      <c r="B74" s="8" t="s">
        <v>217</v>
      </c>
      <c r="C74" s="8" t="s">
        <v>217</v>
      </c>
      <c r="D74" s="8" t="s">
        <v>57</v>
      </c>
      <c r="E74" s="8" t="s">
        <v>58</v>
      </c>
      <c r="F74" s="8" t="s">
        <v>70</v>
      </c>
      <c r="G74" s="14" t="n">
        <v>54000</v>
      </c>
      <c r="H74" s="8" t="n">
        <v>684</v>
      </c>
      <c r="I74" s="8" t="s">
        <v>19</v>
      </c>
      <c r="J74" s="8" t="s">
        <v>61</v>
      </c>
    </row>
    <row r="75" customFormat="false" ht="15" hidden="false" customHeight="true" outlineLevel="0" collapsed="false">
      <c r="A75" s="8" t="s">
        <v>218</v>
      </c>
      <c r="B75" s="8" t="s">
        <v>219</v>
      </c>
      <c r="C75" s="8" t="s">
        <v>219</v>
      </c>
      <c r="D75" s="8" t="s">
        <v>64</v>
      </c>
      <c r="E75" s="8" t="s">
        <v>65</v>
      </c>
      <c r="F75" s="8" t="s">
        <v>75</v>
      </c>
      <c r="G75" s="14" t="n">
        <v>78000</v>
      </c>
      <c r="H75" s="8" t="n">
        <v>692</v>
      </c>
      <c r="I75" s="8" t="s">
        <v>19</v>
      </c>
      <c r="J75" s="8" t="s">
        <v>61</v>
      </c>
    </row>
    <row r="76" customFormat="false" ht="15" hidden="false" customHeight="true" outlineLevel="0" collapsed="false">
      <c r="A76" s="8" t="s">
        <v>220</v>
      </c>
      <c r="B76" s="8" t="s">
        <v>221</v>
      </c>
      <c r="C76" s="8" t="s">
        <v>221</v>
      </c>
      <c r="D76" s="8" t="s">
        <v>69</v>
      </c>
      <c r="E76" s="8"/>
      <c r="F76" s="8" t="s">
        <v>78</v>
      </c>
      <c r="G76" s="14" t="n">
        <v>102000</v>
      </c>
      <c r="H76" s="8" t="n">
        <v>700</v>
      </c>
      <c r="I76" s="8" t="s">
        <v>19</v>
      </c>
      <c r="J76" s="8" t="s">
        <v>61</v>
      </c>
    </row>
    <row r="77" customFormat="false" ht="15" hidden="false" customHeight="true" outlineLevel="0" collapsed="false">
      <c r="A77" s="8" t="s">
        <v>222</v>
      </c>
      <c r="B77" s="8" t="s">
        <v>223</v>
      </c>
      <c r="C77" s="8" t="s">
        <v>223</v>
      </c>
      <c r="D77" s="8" t="s">
        <v>74</v>
      </c>
      <c r="E77" s="8" t="s">
        <v>58</v>
      </c>
      <c r="F77" s="8" t="s">
        <v>81</v>
      </c>
      <c r="G77" s="14" t="n">
        <v>126000</v>
      </c>
      <c r="H77" s="8" t="n">
        <v>708</v>
      </c>
      <c r="I77" s="8" t="s">
        <v>19</v>
      </c>
      <c r="J77" s="8" t="s">
        <v>61</v>
      </c>
    </row>
    <row r="78" customFormat="false" ht="15" hidden="false" customHeight="true" outlineLevel="0" collapsed="false">
      <c r="A78" s="8" t="s">
        <v>224</v>
      </c>
      <c r="B78" s="8" t="s">
        <v>225</v>
      </c>
      <c r="C78" s="8" t="s">
        <v>225</v>
      </c>
      <c r="D78" s="8" t="s">
        <v>57</v>
      </c>
      <c r="E78" s="8" t="s">
        <v>65</v>
      </c>
      <c r="F78" s="8" t="s">
        <v>84</v>
      </c>
      <c r="G78" s="14" t="n">
        <v>150000</v>
      </c>
      <c r="H78" s="8"/>
      <c r="I78" s="8" t="s">
        <v>19</v>
      </c>
      <c r="J78" s="8" t="s">
        <v>61</v>
      </c>
    </row>
    <row r="79" customFormat="false" ht="15" hidden="false" customHeight="true" outlineLevel="0" collapsed="false">
      <c r="A79" s="8" t="s">
        <v>226</v>
      </c>
      <c r="B79" s="8" t="s">
        <v>227</v>
      </c>
      <c r="C79" s="8" t="s">
        <v>227</v>
      </c>
      <c r="D79" s="8" t="s">
        <v>64</v>
      </c>
      <c r="E79" s="8"/>
      <c r="F79" s="8"/>
      <c r="G79" s="14" t="n">
        <v>174000</v>
      </c>
      <c r="H79" s="8" t="n">
        <v>724</v>
      </c>
      <c r="I79" s="8" t="s">
        <v>19</v>
      </c>
      <c r="J79" s="8" t="s">
        <v>101</v>
      </c>
    </row>
    <row r="80" customFormat="false" ht="15" hidden="false" customHeight="true" outlineLevel="0" collapsed="false">
      <c r="A80" s="8" t="s">
        <v>228</v>
      </c>
      <c r="B80" s="8" t="s">
        <v>229</v>
      </c>
      <c r="C80" s="8" t="s">
        <v>229</v>
      </c>
      <c r="D80" s="8" t="s">
        <v>69</v>
      </c>
      <c r="E80" s="8" t="s">
        <v>58</v>
      </c>
      <c r="F80" s="8" t="s">
        <v>91</v>
      </c>
      <c r="G80" s="14" t="n">
        <v>198000</v>
      </c>
      <c r="H80" s="8" t="n">
        <v>732</v>
      </c>
      <c r="I80" s="8" t="s">
        <v>19</v>
      </c>
      <c r="J80" s="8" t="s">
        <v>61</v>
      </c>
    </row>
    <row r="81" customFormat="false" ht="15" hidden="false" customHeight="true" outlineLevel="0" collapsed="false">
      <c r="A81" s="8" t="s">
        <v>230</v>
      </c>
      <c r="B81" s="8" t="s">
        <v>231</v>
      </c>
      <c r="C81" s="8" t="s">
        <v>231</v>
      </c>
      <c r="D81" s="8" t="s">
        <v>247</v>
      </c>
      <c r="E81" s="8" t="s">
        <v>65</v>
      </c>
      <c r="F81" s="8" t="s">
        <v>95</v>
      </c>
      <c r="G81" s="14" t="n">
        <v>222000</v>
      </c>
      <c r="H81" s="8" t="n">
        <v>740</v>
      </c>
      <c r="I81" s="8" t="s">
        <v>19</v>
      </c>
      <c r="J81" s="8" t="s">
        <v>277</v>
      </c>
    </row>
  </sheetData>
  <autoFilter ref="A1:J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4"/>
    <col collapsed="false" customWidth="true" hidden="false" outlineLevel="0" max="3" min="3" style="1" width="36"/>
    <col collapsed="false" customWidth="true" hidden="false" outlineLevel="0" max="4" min="4" style="1" width="42"/>
    <col collapsed="false" customWidth="true" hidden="false" outlineLevel="0" max="5" min="5" style="1" width="44"/>
  </cols>
  <sheetData>
    <row r="1" customFormat="false" ht="15" hidden="false" customHeight="true" outlineLevel="0" collapsed="false">
      <c r="A1" s="7" t="s">
        <v>279</v>
      </c>
      <c r="B1" s="7" t="s">
        <v>280</v>
      </c>
      <c r="C1" s="7" t="s">
        <v>281</v>
      </c>
      <c r="D1" s="7" t="s">
        <v>282</v>
      </c>
      <c r="E1" s="7" t="s">
        <v>283</v>
      </c>
    </row>
    <row r="2" customFormat="false" ht="90" hidden="false" customHeight="true" outlineLevel="0" collapsed="false">
      <c r="A2" s="10" t="s">
        <v>284</v>
      </c>
      <c r="B2" s="10" t="s">
        <v>285</v>
      </c>
      <c r="C2" s="10" t="s">
        <v>286</v>
      </c>
      <c r="D2" s="10" t="s">
        <v>287</v>
      </c>
      <c r="E2" s="10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2026-06-10T03:02:33Z</dcterms:created>
  <dc:creator>openpyxl</dc:creator>
  <dc:description/>
  <dc:language>en-US</dc:language>
  <cp:lastModifiedBy/>
  <dcterms:modified xsi:type="dcterms:W3CDTF">2026-06-10T03:03:17Z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